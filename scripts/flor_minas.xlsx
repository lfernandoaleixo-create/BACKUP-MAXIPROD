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gesta\Desktop\"/>
    </mc:Choice>
  </mc:AlternateContent>
  <xr:revisionPtr revIDLastSave="0" documentId="13_ncr:1_{14609399-2538-48A2-AC74-DBF38B637F37}" xr6:coauthVersionLast="47" xr6:coauthVersionMax="47" xr10:uidLastSave="{00000000-0000-0000-0000-000000000000}"/>
  <workbookProtection workbookAlgorithmName="SHA-512" workbookHashValue="8qk40/5BOQEoKbob1g6C8pYNHpzoNoBRaJ9W23ZLKpcpNiQC64eRZ5G+Fl113vJL5KmyX2g3fUJcTBDLgv23ng==" workbookSaltValue="ib9WufRVR+9zf0AoTg4Q5g==" workbookSpinCount="100000" lockStructure="1"/>
  <bookViews>
    <workbookView showHorizontalScroll="0" showVerticalScroll="0" showSheetTabs="0" xWindow="-28908" yWindow="-108" windowWidth="29016" windowHeight="15696" xr2:uid="{7B5558ED-9AE0-4332-818E-65AB713AF09A}"/>
  </bookViews>
  <sheets>
    <sheet name="COTAÇÃO FLOR DE MINAS " sheetId="1" r:id="rId1"/>
    <sheet name="Planilha1" sheetId="2" r:id="rId2"/>
  </sheets>
  <definedNames>
    <definedName name="_xlnm._FilterDatabase" localSheetId="0" hidden="1">'COTAÇÃO FLOR DE MINAS '!$A$54:$B$166</definedName>
    <definedName name="A">'COTAÇÃO FLOR DE MINAS '!$B$170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C51" i="1"/>
  <c r="H49" i="1"/>
  <c r="I49" i="1" s="1"/>
  <c r="I50" i="1"/>
  <c r="H51" i="1"/>
  <c r="I51" i="1" s="1"/>
  <c r="H48" i="1"/>
  <c r="J48" i="1"/>
  <c r="I48" i="1" l="1"/>
  <c r="I52" i="1" s="1"/>
  <c r="C20" i="1" s="1"/>
  <c r="F20" i="1" s="1"/>
  <c r="D56" i="1" l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55" i="1"/>
</calcChain>
</file>

<file path=xl/sharedStrings.xml><?xml version="1.0" encoding="utf-8"?>
<sst xmlns="http://schemas.openxmlformats.org/spreadsheetml/2006/main" count="469" uniqueCount="136">
  <si>
    <t>cidades</t>
  </si>
  <si>
    <t>São Paulo</t>
  </si>
  <si>
    <t>Arujá</t>
  </si>
  <si>
    <t>Barueri</t>
  </si>
  <si>
    <t>Biritiba Mirim</t>
  </si>
  <si>
    <t>Caieiras</t>
  </si>
  <si>
    <t>Cajamar</t>
  </si>
  <si>
    <t>Carapicuíba</t>
  </si>
  <si>
    <t>Cotia</t>
  </si>
  <si>
    <t>Diadema</t>
  </si>
  <si>
    <t>Embu</t>
  </si>
  <si>
    <t>Embu-Guaçu</t>
  </si>
  <si>
    <t>Ferraz de Vasconcelos</t>
  </si>
  <si>
    <t>Francisco Morato</t>
  </si>
  <si>
    <t>Franco da Rocha</t>
  </si>
  <si>
    <t>Guararema</t>
  </si>
  <si>
    <t>Guarulhos</t>
  </si>
  <si>
    <t>Itapecerica da Serra</t>
  </si>
  <si>
    <t>Itapevi</t>
  </si>
  <si>
    <t>Itaquaquecetuba</t>
  </si>
  <si>
    <t>Jandira</t>
  </si>
  <si>
    <t>Mairiporã</t>
  </si>
  <si>
    <t>Mauá</t>
  </si>
  <si>
    <t>Mogi das Cruzes</t>
  </si>
  <si>
    <t>Osasco</t>
  </si>
  <si>
    <t>Poá</t>
  </si>
  <si>
    <t>Ribeirão Pires</t>
  </si>
  <si>
    <t>Rio Grande da Serra</t>
  </si>
  <si>
    <t>Santa Isabel</t>
  </si>
  <si>
    <t>Santana do Parnaíba</t>
  </si>
  <si>
    <t>Santo André</t>
  </si>
  <si>
    <t>São Bernardo do Campo</t>
  </si>
  <si>
    <t>São Caetano do Sul</t>
  </si>
  <si>
    <t>Suzano</t>
  </si>
  <si>
    <t>Taboão da Serra</t>
  </si>
  <si>
    <t>Vargem Grande Paulista</t>
  </si>
  <si>
    <t>estado</t>
  </si>
  <si>
    <t>SP</t>
  </si>
  <si>
    <t>MG</t>
  </si>
  <si>
    <t>Belo Horizonte</t>
  </si>
  <si>
    <t>Betim</t>
  </si>
  <si>
    <t>Confins</t>
  </si>
  <si>
    <t>Contagem</t>
  </si>
  <si>
    <t>Ibirité</t>
  </si>
  <si>
    <t>Igarapé</t>
  </si>
  <si>
    <t>Itaguara</t>
  </si>
  <si>
    <t>Itatiaiuçu</t>
  </si>
  <si>
    <t>Juatuba</t>
  </si>
  <si>
    <t>Lagoa Santa</t>
  </si>
  <si>
    <t>Mateus Leme</t>
  </si>
  <si>
    <t>Matozinhos</t>
  </si>
  <si>
    <t>Nova Lima</t>
  </si>
  <si>
    <t>Pedro Leopoldo</t>
  </si>
  <si>
    <t>Ribeirão das Neves</t>
  </si>
  <si>
    <t>Sabará</t>
  </si>
  <si>
    <t>Santa Luzia</t>
  </si>
  <si>
    <t>Sarzedo</t>
  </si>
  <si>
    <t>São Joaquim  de Bicas</t>
  </si>
  <si>
    <t>São José da Lapa</t>
  </si>
  <si>
    <t>Vespasiano</t>
  </si>
  <si>
    <t>Alfenas</t>
  </si>
  <si>
    <t>Aguanil</t>
  </si>
  <si>
    <t>Boa Esperança</t>
  </si>
  <si>
    <t>Bom Sucesso</t>
  </si>
  <si>
    <t>Bonfim</t>
  </si>
  <si>
    <t>Campo Belo</t>
  </si>
  <si>
    <t>Campo do Meio</t>
  </si>
  <si>
    <t>Campos Gerais</t>
  </si>
  <si>
    <t>Cana Verde</t>
  </si>
  <si>
    <t>Candeias</t>
  </si>
  <si>
    <t>Carmo da Mata</t>
  </si>
  <si>
    <t>Carmópolis de Minas</t>
  </si>
  <si>
    <t>Cláudio</t>
  </si>
  <si>
    <t>Coqueiral</t>
  </si>
  <si>
    <t>Cristais</t>
  </si>
  <si>
    <t>Crucilândia</t>
  </si>
  <si>
    <t>Elói Mendes</t>
  </si>
  <si>
    <t>Desterro de Entre Rios</t>
  </si>
  <si>
    <t>Divinópolis</t>
  </si>
  <si>
    <t>Ibituruna</t>
  </si>
  <si>
    <t>Ijaci</t>
  </si>
  <si>
    <t>Itumirim</t>
  </si>
  <si>
    <t>Itapecerica</t>
  </si>
  <si>
    <t>Lavras</t>
  </si>
  <si>
    <t>Luminárias</t>
  </si>
  <si>
    <t>Machado</t>
  </si>
  <si>
    <t>Nepomuceno</t>
  </si>
  <si>
    <t>Oliveira</t>
  </si>
  <si>
    <t>Passa Tempo</t>
  </si>
  <si>
    <t>Perdões</t>
  </si>
  <si>
    <t>Piracema</t>
  </si>
  <si>
    <t>Ribeirão Vermelho</t>
  </si>
  <si>
    <t>Rio Manso</t>
  </si>
  <si>
    <t>Santana da Vargem</t>
  </si>
  <si>
    <t>Santana do Jacaré</t>
  </si>
  <si>
    <t>Santo Antônio do Amparo</t>
  </si>
  <si>
    <t>Araçarigua</t>
  </si>
  <si>
    <t>Jundiaí</t>
  </si>
  <si>
    <t>Riacho Grande</t>
  </si>
  <si>
    <t>Várzea Paulista</t>
  </si>
  <si>
    <t>Campanha</t>
  </si>
  <si>
    <t>Carmo da Cachoeira</t>
  </si>
  <si>
    <t>Itaúna</t>
  </si>
  <si>
    <t>Itutinga</t>
  </si>
  <si>
    <t>Monsenhor Paulo</t>
  </si>
  <si>
    <t xml:space="preserve">Nazareno </t>
  </si>
  <si>
    <t>Pará de Minas</t>
  </si>
  <si>
    <t>Paraguaçu</t>
  </si>
  <si>
    <t>Pouso Alegre</t>
  </si>
  <si>
    <t>São Francisco de Paula</t>
  </si>
  <si>
    <t>São Gonçalo do Sapucaí</t>
  </si>
  <si>
    <t>São João Del Rey</t>
  </si>
  <si>
    <t>São Tiago</t>
  </si>
  <si>
    <t>Três Corações</t>
  </si>
  <si>
    <t>Três Pontas</t>
  </si>
  <si>
    <t>Varginha</t>
  </si>
  <si>
    <t>Prazo</t>
  </si>
  <si>
    <t>até 50kg</t>
  </si>
  <si>
    <t>de 51 a 150 kg</t>
  </si>
  <si>
    <t>de 151 a 250 kg</t>
  </si>
  <si>
    <t>acima de 250kg</t>
  </si>
  <si>
    <t>PESO DA ENTREGA</t>
  </si>
  <si>
    <t>REF</t>
  </si>
  <si>
    <t>VALORES</t>
  </si>
  <si>
    <t>TAXA ENTREGA</t>
  </si>
  <si>
    <t>PEDÁGIO</t>
  </si>
  <si>
    <t>SEGURO</t>
  </si>
  <si>
    <t>Cidades atendidas:</t>
  </si>
  <si>
    <t>48 horas</t>
  </si>
  <si>
    <t>24 horas</t>
  </si>
  <si>
    <t>Valor da NF-e</t>
  </si>
  <si>
    <t>Peso (kg) NF-e</t>
  </si>
  <si>
    <t>Valor do Frete</t>
  </si>
  <si>
    <t>Prazo de Entrega</t>
  </si>
  <si>
    <t>V</t>
  </si>
  <si>
    <t>Ribeirão Pires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</si>
</sst>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0.000"/>
  </numFmts>
  <fonts count="9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u/>
      <sz val="20"/>
      <color theme="0"/>
      <name val="Aptos Narrow"/>
      <family val="2"/>
      <scheme val="minor"/>
    </font>
    <font>
      <sz val="8"/>
      <color rgb="FF000000"/>
      <name val="Segoe UI"/>
      <family val="2"/>
    </font>
    <font>
      <sz val="11"/>
      <color theme="1"/>
      <name val="Aptos Narrow"/>
      <family val="2"/>
      <scheme val="minor"/>
    </font>
    <font>
      <b/>
      <sz val="16"/>
      <color theme="3" tint="0.89999084444715716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 style="thin">
        <color theme="4" tint="0.79998168889431442"/>
      </left>
      <right/>
      <top/>
      <bottom/>
      <diagonal/>
    </border>
    <border>
      <left/>
      <right/>
      <top style="thin">
        <color theme="4" tint="0.79998168889431442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 applyProtection="1">
      <protection hidden="1"/>
    </xf>
    <xf numFmtId="0" fontId="0" fillId="0" borderId="0" xfId="0" applyProtection="1">
      <protection hidden="1"/>
    </xf>
    <xf numFmtId="0" fontId="1" fillId="2" borderId="0" xfId="0" applyFont="1" applyFill="1" applyProtection="1"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5" xfId="0" applyFill="1" applyBorder="1" applyProtection="1">
      <protection hidden="1"/>
    </xf>
    <xf numFmtId="0" fontId="0" fillId="2" borderId="6" xfId="0" applyFill="1" applyBorder="1" applyProtection="1">
      <protection hidden="1"/>
    </xf>
    <xf numFmtId="10" fontId="7" fillId="2" borderId="6" xfId="1" applyNumberFormat="1" applyFont="1" applyFill="1" applyBorder="1" applyAlignment="1" applyProtection="1">
      <alignment horizontal="center" vertical="center" shrinkToFit="1"/>
      <protection hidden="1"/>
    </xf>
    <xf numFmtId="0" fontId="3" fillId="2" borderId="4" xfId="0" applyFont="1" applyFill="1" applyBorder="1" applyAlignment="1" applyProtection="1">
      <alignment horizontal="center" vertical="center"/>
      <protection hidden="1"/>
    </xf>
    <xf numFmtId="164" fontId="4" fillId="2" borderId="1" xfId="0" applyNumberFormat="1" applyFont="1" applyFill="1" applyBorder="1" applyAlignment="1" applyProtection="1">
      <alignment horizontal="center" vertical="center" shrinkToFit="1"/>
      <protection hidden="1"/>
    </xf>
    <xf numFmtId="164" fontId="4" fillId="2" borderId="2" xfId="0" applyNumberFormat="1" applyFont="1" applyFill="1" applyBorder="1" applyAlignment="1" applyProtection="1">
      <alignment horizontal="center" vertical="center" shrinkToFit="1"/>
      <protection hidden="1"/>
    </xf>
    <xf numFmtId="0" fontId="4" fillId="2" borderId="2" xfId="0" applyFont="1" applyFill="1" applyBorder="1" applyAlignment="1" applyProtection="1">
      <alignment horizontal="center" vertical="center" shrinkToFit="1"/>
      <protection hidden="1"/>
    </xf>
    <xf numFmtId="0" fontId="4" fillId="2" borderId="3" xfId="0" applyFont="1" applyFill="1" applyBorder="1" applyAlignment="1" applyProtection="1">
      <alignment horizontal="center" vertical="center" shrinkToFit="1"/>
      <protection hidden="1"/>
    </xf>
    <xf numFmtId="0" fontId="0" fillId="2" borderId="0" xfId="0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4" fontId="2" fillId="3" borderId="0" xfId="0" applyNumberFormat="1" applyFont="1" applyFill="1" applyAlignment="1" applyProtection="1">
      <alignment horizontal="center" vertical="center" shrinkToFit="1"/>
      <protection locked="0" hidden="1"/>
    </xf>
    <xf numFmtId="0" fontId="2" fillId="3" borderId="0" xfId="0" applyFont="1" applyFill="1" applyAlignment="1" applyProtection="1">
      <alignment horizontal="center" shrinkToFit="1"/>
      <protection locked="0" hidden="1"/>
    </xf>
    <xf numFmtId="165" fontId="2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0" xfId="0" applyFill="1" applyProtection="1">
      <protection hidden="1"/>
    </xf>
    <xf numFmtId="0" fontId="8" fillId="0" borderId="0" xfId="0" applyFont="1" applyFill="1" applyProtection="1">
      <protection hidden="1"/>
    </xf>
    <xf numFmtId="0" fontId="8" fillId="0" borderId="0" xfId="0" applyFont="1" applyFill="1" applyProtection="1">
      <protection locked="0" hidden="1"/>
    </xf>
    <xf numFmtId="9" fontId="8" fillId="0" borderId="0" xfId="0" applyNumberFormat="1" applyFont="1" applyFill="1" applyProtection="1">
      <protection hidden="1"/>
    </xf>
    <xf numFmtId="2" fontId="8" fillId="0" borderId="0" xfId="0" applyNumberFormat="1" applyFont="1" applyFill="1" applyProtection="1">
      <protection hidden="1"/>
    </xf>
    <xf numFmtId="0" fontId="8" fillId="0" borderId="0" xfId="0" applyFont="1" applyFill="1" applyAlignment="1" applyProtection="1">
      <alignment horizontal="center"/>
      <protection hidden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Radio" firstButton="1" fmlaLink="$H$47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20</xdr:row>
      <xdr:rowOff>68580</xdr:rowOff>
    </xdr:from>
    <xdr:to>
      <xdr:col>23</xdr:col>
      <xdr:colOff>533400</xdr:colOff>
      <xdr:row>38</xdr:row>
      <xdr:rowOff>19050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BFE12CD-EF02-0FBD-724A-F7869330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2340" y="4511040"/>
          <a:ext cx="8229600" cy="3238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68580</xdr:rowOff>
    </xdr:from>
    <xdr:to>
      <xdr:col>10</xdr:col>
      <xdr:colOff>485775</xdr:colOff>
      <xdr:row>38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4F8DE9D-4954-5CE0-D21E-15B5BE58B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1040"/>
          <a:ext cx="7284720" cy="3223260"/>
        </a:xfrm>
        <a:prstGeom prst="rect">
          <a:avLst/>
        </a:prstGeom>
      </xdr:spPr>
    </xdr:pic>
    <xdr:clientData/>
  </xdr:twoCellAnchor>
  <xdr:twoCellAnchor editAs="oneCell">
    <xdr:from>
      <xdr:col>4</xdr:col>
      <xdr:colOff>91440</xdr:colOff>
      <xdr:row>0</xdr:row>
      <xdr:rowOff>22860</xdr:rowOff>
    </xdr:from>
    <xdr:to>
      <xdr:col>6</xdr:col>
      <xdr:colOff>529906</xdr:colOff>
      <xdr:row>9</xdr:row>
      <xdr:rowOff>68808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0A8B72-FBBF-4344-8C13-E3761B391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0" y="22860"/>
          <a:ext cx="1764346" cy="169377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23</xdr:col>
      <xdr:colOff>514350</xdr:colOff>
      <xdr:row>20</xdr:row>
      <xdr:rowOff>55626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BF2D870-1811-1F0C-4D3E-535248C7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2340" y="2095500"/>
          <a:ext cx="8214360" cy="240639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23</xdr:col>
      <xdr:colOff>514350</xdr:colOff>
      <xdr:row>11</xdr:row>
      <xdr:rowOff>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3FAF7662-867E-3857-0D2F-8D448F758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2340" y="0"/>
          <a:ext cx="8206740" cy="2095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426720</xdr:colOff>
          <xdr:row>15</xdr:row>
          <xdr:rowOff>152400</xdr:rowOff>
        </xdr:from>
        <xdr:to>
          <xdr:col>7</xdr:col>
          <xdr:colOff>541020</xdr:colOff>
          <xdr:row>17</xdr:row>
          <xdr:rowOff>114300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RETIRADA/REDESPACHO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</xdr:colOff>
          <xdr:row>15</xdr:row>
          <xdr:rowOff>152400</xdr:rowOff>
        </xdr:from>
        <xdr:to>
          <xdr:col>5</xdr:col>
          <xdr:colOff>99060</xdr:colOff>
          <xdr:row>17</xdr:row>
          <xdr:rowOff>114300</xdr:rowOff>
        </xdr:to>
        <xdr:sp macro="" textlink="">
          <xdr:nvSpPr>
            <xdr:cNvPr id="1027" name="Option Button 3" descr="ENTREGA NO CLIENTE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ENTREGA NO CLIENTE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70EC0-4F45-4B37-A511-A6D3A424818C}">
  <sheetPr codeName="Planilha1" filterMode="1">
    <pageSetUpPr autoPageBreaks="0"/>
  </sheetPr>
  <dimension ref="A1:AD212"/>
  <sheetViews>
    <sheetView showGridLines="0" showRowColHeaders="0" tabSelected="1" topLeftCell="A24" zoomScaleNormal="100" zoomScaleSheetLayoutView="70" workbookViewId="0">
      <selection activeCell="I56" sqref="I56"/>
    </sheetView>
  </sheetViews>
  <sheetFormatPr defaultRowHeight="14.4" x14ac:dyDescent="0.3"/>
  <cols>
    <col min="1" max="8" width="9.6640625" style="2" customWidth="1"/>
    <col min="9" max="9" width="12.109375" style="2" customWidth="1"/>
    <col min="10" max="11" width="9.6640625" style="2" customWidth="1"/>
    <col min="12" max="22" width="8.88671875" style="2"/>
    <col min="23" max="23" width="14.44140625" style="2" customWidth="1"/>
    <col min="24" max="16384" width="8.88671875" style="2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1" x14ac:dyDescent="0.4">
      <c r="A11" s="1"/>
      <c r="B11" s="1"/>
      <c r="C11" s="15" t="s">
        <v>127</v>
      </c>
      <c r="D11" s="15"/>
      <c r="E11" s="15"/>
      <c r="F11" s="15"/>
      <c r="G11" s="15"/>
      <c r="H11" s="15"/>
      <c r="I11" s="1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1" x14ac:dyDescent="0.4">
      <c r="A12" s="1"/>
      <c r="B12" s="1"/>
      <c r="C12" s="17" t="s">
        <v>135</v>
      </c>
      <c r="D12" s="17"/>
      <c r="E12" s="17"/>
      <c r="F12" s="17"/>
      <c r="G12" s="17"/>
      <c r="H12" s="17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1" x14ac:dyDescent="0.4">
      <c r="A14" s="1"/>
      <c r="B14" s="1"/>
      <c r="C14" s="15" t="s">
        <v>130</v>
      </c>
      <c r="D14" s="15"/>
      <c r="E14" s="15"/>
      <c r="F14" s="3"/>
      <c r="G14" s="15" t="s">
        <v>131</v>
      </c>
      <c r="H14" s="15"/>
      <c r="I14" s="1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21" x14ac:dyDescent="0.3">
      <c r="A15" s="1"/>
      <c r="B15" s="1"/>
      <c r="C15" s="16">
        <v>1000</v>
      </c>
      <c r="D15" s="16"/>
      <c r="E15" s="16"/>
      <c r="F15" s="4"/>
      <c r="G15" s="18">
        <v>30</v>
      </c>
      <c r="H15" s="18"/>
      <c r="I15" s="1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8.2" customHeight="1" x14ac:dyDescent="0.3">
      <c r="A19" s="1"/>
      <c r="B19" s="1"/>
      <c r="C19" s="9" t="s">
        <v>132</v>
      </c>
      <c r="D19" s="9"/>
      <c r="E19" s="9"/>
      <c r="F19" s="5"/>
      <c r="G19" s="9" t="s">
        <v>133</v>
      </c>
      <c r="H19" s="9"/>
      <c r="I19" s="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36" customHeight="1" x14ac:dyDescent="0.3">
      <c r="A20" s="1"/>
      <c r="B20" s="1"/>
      <c r="C20" s="10">
        <f>I52</f>
        <v>217.32999999999998</v>
      </c>
      <c r="D20" s="11"/>
      <c r="E20" s="11"/>
      <c r="F20" s="8">
        <f>C20/C15</f>
        <v>0.21733</v>
      </c>
      <c r="G20" s="12" t="str">
        <f>VLOOKUP(C12,D55:F166,(3),FALSE)</f>
        <v>48 horas</v>
      </c>
      <c r="H20" s="12"/>
      <c r="I20" s="13"/>
      <c r="J20" s="6" t="s">
        <v>134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/>
      <c r="C21" s="1"/>
      <c r="D21" s="1"/>
      <c r="E21" s="1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4" customHeight="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4" customHeight="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4" customHeight="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4" customHeight="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9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4" customHeight="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9"/>
      <c r="P43" s="19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1.6" customHeight="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1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1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19"/>
      <c r="P46" s="19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20" t="s">
        <v>121</v>
      </c>
      <c r="B47" s="20" t="s">
        <v>122</v>
      </c>
      <c r="C47" s="20" t="s">
        <v>123</v>
      </c>
      <c r="D47" s="20" t="s">
        <v>124</v>
      </c>
      <c r="E47" s="20" t="s">
        <v>125</v>
      </c>
      <c r="F47" s="20" t="s">
        <v>126</v>
      </c>
      <c r="G47" s="20"/>
      <c r="H47" s="21">
        <v>2</v>
      </c>
      <c r="I47" s="20"/>
      <c r="J47" s="20"/>
      <c r="K47" s="20"/>
      <c r="L47" s="20"/>
      <c r="M47" s="20"/>
      <c r="N47" s="20"/>
      <c r="O47" s="19"/>
      <c r="P47" s="19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20" t="s">
        <v>117</v>
      </c>
      <c r="B48" s="20">
        <v>1</v>
      </c>
      <c r="C48" s="20">
        <v>103.03</v>
      </c>
      <c r="D48" s="20">
        <v>95</v>
      </c>
      <c r="E48" s="20">
        <v>12.3</v>
      </c>
      <c r="F48" s="22">
        <v>7.0000000000000001E-3</v>
      </c>
      <c r="G48" s="20"/>
      <c r="H48" s="20">
        <f>IF(AND(G15&gt;=1,G15&lt;=50),1,IF(AND(G15&gt;50,G15&lt;=150),2,IF(AND(G15&gt;150,G15&lt;=250),3,IF(AND(G15&gt;250),4,""))))</f>
        <v>1</v>
      </c>
      <c r="I48" s="20">
        <f>VLOOKUP(H48,B48:F51,(2),FALSE)</f>
        <v>103.03</v>
      </c>
      <c r="J48" s="20">
        <f>IF(AND(G15&gt;=1,G15&lt;=50),1,IF(AND(G15&gt;50,G15&lt;=150),2,IF(AND(G15&gt;150,G15&lt;=250),3,IF(AND(G15&gt;250),4,""))))</f>
        <v>1</v>
      </c>
      <c r="K48" s="20"/>
      <c r="L48" s="20"/>
      <c r="M48" s="20"/>
      <c r="N48" s="20"/>
      <c r="O48" s="19"/>
      <c r="P48" s="19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20" t="s">
        <v>118</v>
      </c>
      <c r="B49" s="20">
        <v>2</v>
      </c>
      <c r="C49" s="20">
        <v>160.27000000000001</v>
      </c>
      <c r="D49" s="20">
        <v>95</v>
      </c>
      <c r="E49" s="20">
        <v>12.3</v>
      </c>
      <c r="F49" s="22">
        <v>7.0000000000000001E-3</v>
      </c>
      <c r="G49" s="20"/>
      <c r="H49" s="20">
        <f>C15</f>
        <v>1000</v>
      </c>
      <c r="I49" s="23">
        <f>SUM(H49*F49)</f>
        <v>7</v>
      </c>
      <c r="J49" s="20"/>
      <c r="K49" s="20"/>
      <c r="L49" s="20"/>
      <c r="M49" s="20"/>
      <c r="N49" s="20"/>
      <c r="O49" s="19"/>
      <c r="P49" s="19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20" t="s">
        <v>119</v>
      </c>
      <c r="B50" s="20">
        <v>3</v>
      </c>
      <c r="C50" s="20">
        <v>186</v>
      </c>
      <c r="D50" s="20">
        <v>95</v>
      </c>
      <c r="E50" s="20">
        <v>12.3</v>
      </c>
      <c r="F50" s="22">
        <v>7.0000000000000001E-3</v>
      </c>
      <c r="G50" s="20"/>
      <c r="H50" s="20">
        <v>1</v>
      </c>
      <c r="I50" s="20">
        <f>SUM(H50*E50)</f>
        <v>12.3</v>
      </c>
      <c r="J50" s="20"/>
      <c r="K50" s="20"/>
      <c r="L50" s="20"/>
      <c r="M50" s="20"/>
      <c r="N50" s="20"/>
      <c r="O50" s="19"/>
      <c r="P50" s="19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20" t="s">
        <v>120</v>
      </c>
      <c r="B51" s="20">
        <v>4</v>
      </c>
      <c r="C51" s="20">
        <f>G15*0.747</f>
        <v>22.41</v>
      </c>
      <c r="D51" s="20">
        <v>95</v>
      </c>
      <c r="E51" s="20">
        <v>12.3</v>
      </c>
      <c r="F51" s="22">
        <v>7.0000000000000001E-3</v>
      </c>
      <c r="G51" s="20"/>
      <c r="H51" s="20">
        <f>H47-1</f>
        <v>1</v>
      </c>
      <c r="I51" s="20">
        <f>SUM(H51*D51)</f>
        <v>95</v>
      </c>
      <c r="J51" s="20"/>
      <c r="K51" s="20"/>
      <c r="L51" s="20"/>
      <c r="M51" s="20"/>
      <c r="N51" s="20"/>
      <c r="O51" s="19"/>
      <c r="P51" s="19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20"/>
      <c r="B52" s="20"/>
      <c r="C52" s="20"/>
      <c r="D52" s="20"/>
      <c r="E52" s="20"/>
      <c r="F52" s="20"/>
      <c r="G52" s="20"/>
      <c r="H52" s="20"/>
      <c r="I52" s="23">
        <f>SUM(I48:I51)</f>
        <v>217.32999999999998</v>
      </c>
      <c r="J52" s="20"/>
      <c r="K52" s="20"/>
      <c r="L52" s="20"/>
      <c r="M52" s="20"/>
      <c r="N52" s="20"/>
      <c r="O52" s="19"/>
      <c r="P52" s="19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9"/>
      <c r="P53" s="19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20" t="s">
        <v>0</v>
      </c>
      <c r="B54" s="20" t="s">
        <v>36</v>
      </c>
      <c r="C54" s="20" t="s">
        <v>116</v>
      </c>
      <c r="D54" s="20"/>
      <c r="E54" s="20"/>
      <c r="F54" s="20" t="s">
        <v>116</v>
      </c>
      <c r="G54" s="20"/>
      <c r="H54" s="20"/>
      <c r="I54" s="20"/>
      <c r="J54" s="20"/>
      <c r="K54" s="20"/>
      <c r="L54" s="20"/>
      <c r="M54" s="20"/>
      <c r="N54" s="20"/>
      <c r="O54" s="19"/>
      <c r="P54" s="19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20" t="s">
        <v>1</v>
      </c>
      <c r="B55" s="24" t="s">
        <v>37</v>
      </c>
      <c r="C55" s="20" t="s">
        <v>128</v>
      </c>
      <c r="D55" s="20" t="str">
        <f>A55&amp;" - "&amp;B55</f>
        <v>São Paulo - SP</v>
      </c>
      <c r="E55" s="20"/>
      <c r="F55" s="20" t="s">
        <v>128</v>
      </c>
      <c r="G55" s="20"/>
      <c r="H55" s="20"/>
      <c r="I55" s="20"/>
      <c r="J55" s="20"/>
      <c r="K55" s="20"/>
      <c r="L55" s="20"/>
      <c r="M55" s="20"/>
      <c r="N55" s="20"/>
      <c r="O55" s="19"/>
      <c r="P55" s="19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20" t="s">
        <v>96</v>
      </c>
      <c r="B56" s="24" t="s">
        <v>37</v>
      </c>
      <c r="C56" s="20" t="s">
        <v>128</v>
      </c>
      <c r="D56" s="20" t="str">
        <f t="shared" ref="D56:D119" si="0">A56&amp;" - "&amp;B56</f>
        <v>Araçarigua - SP</v>
      </c>
      <c r="E56" s="20"/>
      <c r="F56" s="20" t="s">
        <v>128</v>
      </c>
      <c r="G56" s="20"/>
      <c r="H56" s="20"/>
      <c r="I56" s="20"/>
      <c r="J56" s="20"/>
      <c r="K56" s="20"/>
      <c r="L56" s="20"/>
      <c r="M56" s="20"/>
      <c r="N56" s="20"/>
      <c r="O56" s="19"/>
      <c r="P56" s="19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20" t="s">
        <v>2</v>
      </c>
      <c r="B57" s="24" t="s">
        <v>37</v>
      </c>
      <c r="C57" s="20" t="s">
        <v>128</v>
      </c>
      <c r="D57" s="20" t="str">
        <f t="shared" si="0"/>
        <v>Arujá - SP</v>
      </c>
      <c r="E57" s="20"/>
      <c r="F57" s="20" t="s">
        <v>128</v>
      </c>
      <c r="G57" s="20"/>
      <c r="H57" s="20"/>
      <c r="I57" s="20"/>
      <c r="J57" s="20"/>
      <c r="K57" s="20"/>
      <c r="L57" s="20"/>
      <c r="M57" s="20"/>
      <c r="N57" s="20"/>
      <c r="O57" s="19"/>
      <c r="P57" s="19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20" t="s">
        <v>3</v>
      </c>
      <c r="B58" s="24" t="s">
        <v>37</v>
      </c>
      <c r="C58" s="20" t="s">
        <v>128</v>
      </c>
      <c r="D58" s="20" t="str">
        <f t="shared" si="0"/>
        <v>Barueri - SP</v>
      </c>
      <c r="E58" s="20"/>
      <c r="F58" s="20" t="s">
        <v>128</v>
      </c>
      <c r="G58" s="20"/>
      <c r="H58" s="20"/>
      <c r="I58" s="20"/>
      <c r="J58" s="20"/>
      <c r="K58" s="20"/>
      <c r="L58" s="20"/>
      <c r="M58" s="20"/>
      <c r="N58" s="20"/>
      <c r="O58" s="19"/>
      <c r="P58" s="19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20" t="s">
        <v>4</v>
      </c>
      <c r="B59" s="24" t="s">
        <v>37</v>
      </c>
      <c r="C59" s="20" t="s">
        <v>128</v>
      </c>
      <c r="D59" s="20" t="str">
        <f t="shared" si="0"/>
        <v>Biritiba Mirim - SP</v>
      </c>
      <c r="E59" s="20"/>
      <c r="F59" s="20" t="s">
        <v>128</v>
      </c>
      <c r="G59" s="20"/>
      <c r="H59" s="20"/>
      <c r="I59" s="20"/>
      <c r="J59" s="20"/>
      <c r="K59" s="20"/>
      <c r="L59" s="20"/>
      <c r="M59" s="20"/>
      <c r="N59" s="20"/>
      <c r="O59" s="19"/>
      <c r="P59" s="19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20" t="s">
        <v>5</v>
      </c>
      <c r="B60" s="24" t="s">
        <v>37</v>
      </c>
      <c r="C60" s="20" t="s">
        <v>128</v>
      </c>
      <c r="D60" s="20" t="str">
        <f t="shared" si="0"/>
        <v>Caieiras - SP</v>
      </c>
      <c r="E60" s="20"/>
      <c r="F60" s="20" t="s">
        <v>128</v>
      </c>
      <c r="G60" s="20"/>
      <c r="H60" s="20"/>
      <c r="I60" s="20"/>
      <c r="J60" s="20"/>
      <c r="K60" s="20"/>
      <c r="L60" s="20"/>
      <c r="M60" s="20"/>
      <c r="N60" s="20"/>
      <c r="O60" s="19"/>
      <c r="P60" s="19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20" t="s">
        <v>6</v>
      </c>
      <c r="B61" s="24" t="s">
        <v>37</v>
      </c>
      <c r="C61" s="20" t="s">
        <v>128</v>
      </c>
      <c r="D61" s="20" t="str">
        <f t="shared" si="0"/>
        <v>Cajamar - SP</v>
      </c>
      <c r="E61" s="20"/>
      <c r="F61" s="20" t="s">
        <v>128</v>
      </c>
      <c r="G61" s="20"/>
      <c r="H61" s="20"/>
      <c r="I61" s="20"/>
      <c r="J61" s="20"/>
      <c r="K61" s="20"/>
      <c r="L61" s="20"/>
      <c r="M61" s="20"/>
      <c r="N61" s="20"/>
      <c r="O61" s="19"/>
      <c r="P61" s="19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20" t="s">
        <v>7</v>
      </c>
      <c r="B62" s="24" t="s">
        <v>37</v>
      </c>
      <c r="C62" s="20" t="s">
        <v>128</v>
      </c>
      <c r="D62" s="20" t="str">
        <f t="shared" si="0"/>
        <v>Carapicuíba - SP</v>
      </c>
      <c r="E62" s="20"/>
      <c r="F62" s="20" t="s">
        <v>128</v>
      </c>
      <c r="G62" s="20"/>
      <c r="H62" s="20"/>
      <c r="I62" s="20"/>
      <c r="J62" s="20"/>
      <c r="K62" s="20"/>
      <c r="L62" s="20"/>
      <c r="M62" s="20"/>
      <c r="N62" s="20"/>
      <c r="O62" s="19"/>
      <c r="P62" s="19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20" t="s">
        <v>8</v>
      </c>
      <c r="B63" s="24" t="s">
        <v>37</v>
      </c>
      <c r="C63" s="20" t="s">
        <v>128</v>
      </c>
      <c r="D63" s="20" t="str">
        <f t="shared" si="0"/>
        <v>Cotia - SP</v>
      </c>
      <c r="E63" s="20"/>
      <c r="F63" s="20" t="s">
        <v>128</v>
      </c>
      <c r="G63" s="20"/>
      <c r="H63" s="20"/>
      <c r="I63" s="20"/>
      <c r="J63" s="20"/>
      <c r="K63" s="20"/>
      <c r="L63" s="20"/>
      <c r="M63" s="20"/>
      <c r="N63" s="20"/>
      <c r="O63" s="19"/>
      <c r="P63" s="19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20" t="s">
        <v>9</v>
      </c>
      <c r="B64" s="24" t="s">
        <v>37</v>
      </c>
      <c r="C64" s="20" t="s">
        <v>128</v>
      </c>
      <c r="D64" s="20" t="str">
        <f t="shared" si="0"/>
        <v>Diadema - SP</v>
      </c>
      <c r="E64" s="20"/>
      <c r="F64" s="20" t="s">
        <v>128</v>
      </c>
      <c r="G64" s="20"/>
      <c r="H64" s="20"/>
      <c r="I64" s="20"/>
      <c r="J64" s="20"/>
      <c r="K64" s="20"/>
      <c r="L64" s="20"/>
      <c r="M64" s="20"/>
      <c r="N64" s="20"/>
      <c r="O64" s="19"/>
      <c r="P64" s="19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20" t="s">
        <v>10</v>
      </c>
      <c r="B65" s="24" t="s">
        <v>37</v>
      </c>
      <c r="C65" s="20" t="s">
        <v>128</v>
      </c>
      <c r="D65" s="20" t="str">
        <f t="shared" si="0"/>
        <v>Embu - SP</v>
      </c>
      <c r="E65" s="20"/>
      <c r="F65" s="20" t="s">
        <v>128</v>
      </c>
      <c r="G65" s="20"/>
      <c r="H65" s="20"/>
      <c r="I65" s="20"/>
      <c r="J65" s="20"/>
      <c r="K65" s="20"/>
      <c r="L65" s="20"/>
      <c r="M65" s="20"/>
      <c r="N65" s="20"/>
      <c r="O65" s="19"/>
      <c r="P65" s="19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20" t="s">
        <v>11</v>
      </c>
      <c r="B66" s="24" t="s">
        <v>37</v>
      </c>
      <c r="C66" s="20" t="s">
        <v>128</v>
      </c>
      <c r="D66" s="20" t="str">
        <f t="shared" si="0"/>
        <v>Embu-Guaçu - SP</v>
      </c>
      <c r="E66" s="20"/>
      <c r="F66" s="20" t="s">
        <v>128</v>
      </c>
      <c r="G66" s="20"/>
      <c r="H66" s="20"/>
      <c r="I66" s="20"/>
      <c r="J66" s="20"/>
      <c r="K66" s="20"/>
      <c r="L66" s="20"/>
      <c r="M66" s="20"/>
      <c r="N66" s="20"/>
      <c r="O66" s="19"/>
      <c r="P66" s="19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20" t="s">
        <v>12</v>
      </c>
      <c r="B67" s="24" t="s">
        <v>37</v>
      </c>
      <c r="C67" s="20" t="s">
        <v>128</v>
      </c>
      <c r="D67" s="20" t="str">
        <f t="shared" si="0"/>
        <v>Ferraz de Vasconcelos - SP</v>
      </c>
      <c r="E67" s="20"/>
      <c r="F67" s="20" t="s">
        <v>128</v>
      </c>
      <c r="G67" s="20"/>
      <c r="H67" s="20"/>
      <c r="I67" s="20"/>
      <c r="J67" s="20"/>
      <c r="K67" s="20"/>
      <c r="L67" s="20"/>
      <c r="M67" s="20"/>
      <c r="N67" s="20"/>
      <c r="O67" s="19"/>
      <c r="P67" s="19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20" t="s">
        <v>13</v>
      </c>
      <c r="B68" s="24" t="s">
        <v>37</v>
      </c>
      <c r="C68" s="20" t="s">
        <v>128</v>
      </c>
      <c r="D68" s="20" t="str">
        <f t="shared" si="0"/>
        <v>Francisco Morato - SP</v>
      </c>
      <c r="E68" s="20"/>
      <c r="F68" s="20" t="s">
        <v>128</v>
      </c>
      <c r="G68" s="20"/>
      <c r="H68" s="20"/>
      <c r="I68" s="20"/>
      <c r="J68" s="20"/>
      <c r="K68" s="20"/>
      <c r="L68" s="20"/>
      <c r="M68" s="20"/>
      <c r="N68" s="20"/>
      <c r="O68" s="19"/>
      <c r="P68" s="19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20" t="s">
        <v>14</v>
      </c>
      <c r="B69" s="24" t="s">
        <v>37</v>
      </c>
      <c r="C69" s="20" t="s">
        <v>128</v>
      </c>
      <c r="D69" s="20" t="str">
        <f t="shared" si="0"/>
        <v>Franco da Rocha - SP</v>
      </c>
      <c r="E69" s="20"/>
      <c r="F69" s="20" t="s">
        <v>128</v>
      </c>
      <c r="G69" s="20"/>
      <c r="H69" s="20"/>
      <c r="I69" s="20"/>
      <c r="J69" s="20"/>
      <c r="K69" s="20"/>
      <c r="L69" s="20"/>
      <c r="M69" s="20"/>
      <c r="N69" s="20"/>
      <c r="O69" s="19"/>
      <c r="P69" s="19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20" t="s">
        <v>15</v>
      </c>
      <c r="B70" s="24" t="s">
        <v>37</v>
      </c>
      <c r="C70" s="20" t="s">
        <v>128</v>
      </c>
      <c r="D70" s="20" t="str">
        <f t="shared" si="0"/>
        <v>Guararema - SP</v>
      </c>
      <c r="E70" s="20"/>
      <c r="F70" s="20" t="s">
        <v>128</v>
      </c>
      <c r="G70" s="20"/>
      <c r="H70" s="20"/>
      <c r="I70" s="20"/>
      <c r="J70" s="20"/>
      <c r="K70" s="20"/>
      <c r="L70" s="20"/>
      <c r="M70" s="20"/>
      <c r="N70" s="20"/>
      <c r="O70" s="19"/>
      <c r="P70" s="19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20" t="s">
        <v>16</v>
      </c>
      <c r="B71" s="24" t="s">
        <v>37</v>
      </c>
      <c r="C71" s="20" t="s">
        <v>128</v>
      </c>
      <c r="D71" s="20" t="str">
        <f t="shared" si="0"/>
        <v>Guarulhos - SP</v>
      </c>
      <c r="E71" s="20"/>
      <c r="F71" s="20" t="s">
        <v>128</v>
      </c>
      <c r="G71" s="20"/>
      <c r="H71" s="20"/>
      <c r="I71" s="20"/>
      <c r="J71" s="20"/>
      <c r="K71" s="20"/>
      <c r="L71" s="20"/>
      <c r="M71" s="20"/>
      <c r="N71" s="20"/>
      <c r="O71" s="19"/>
      <c r="P71" s="19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20" t="s">
        <v>17</v>
      </c>
      <c r="B72" s="24" t="s">
        <v>37</v>
      </c>
      <c r="C72" s="20" t="s">
        <v>128</v>
      </c>
      <c r="D72" s="20" t="str">
        <f t="shared" si="0"/>
        <v>Itapecerica da Serra - SP</v>
      </c>
      <c r="E72" s="20"/>
      <c r="F72" s="20" t="s">
        <v>128</v>
      </c>
      <c r="G72" s="20"/>
      <c r="H72" s="20"/>
      <c r="I72" s="20"/>
      <c r="J72" s="20"/>
      <c r="K72" s="20"/>
      <c r="L72" s="20"/>
      <c r="M72" s="20"/>
      <c r="N72" s="20"/>
      <c r="O72" s="19"/>
      <c r="P72" s="19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20" t="s">
        <v>18</v>
      </c>
      <c r="B73" s="24" t="s">
        <v>37</v>
      </c>
      <c r="C73" s="20" t="s">
        <v>128</v>
      </c>
      <c r="D73" s="20" t="str">
        <f t="shared" si="0"/>
        <v>Itapevi - SP</v>
      </c>
      <c r="E73" s="20"/>
      <c r="F73" s="20" t="s">
        <v>128</v>
      </c>
      <c r="G73" s="20"/>
      <c r="H73" s="20"/>
      <c r="I73" s="20"/>
      <c r="J73" s="20"/>
      <c r="K73" s="20"/>
      <c r="L73" s="20"/>
      <c r="M73" s="20"/>
      <c r="N73" s="20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20" t="s">
        <v>19</v>
      </c>
      <c r="B74" s="24" t="s">
        <v>37</v>
      </c>
      <c r="C74" s="20" t="s">
        <v>128</v>
      </c>
      <c r="D74" s="20" t="str">
        <f t="shared" si="0"/>
        <v>Itaquaquecetuba - SP</v>
      </c>
      <c r="E74" s="20"/>
      <c r="F74" s="20" t="s">
        <v>128</v>
      </c>
      <c r="G74" s="20"/>
      <c r="H74" s="20"/>
      <c r="I74" s="20"/>
      <c r="J74" s="20"/>
      <c r="K74" s="20"/>
      <c r="L74" s="20"/>
      <c r="M74" s="20"/>
      <c r="N74" s="20"/>
      <c r="O74" s="19"/>
      <c r="P74" s="19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20" t="s">
        <v>20</v>
      </c>
      <c r="B75" s="24" t="s">
        <v>37</v>
      </c>
      <c r="C75" s="20" t="s">
        <v>128</v>
      </c>
      <c r="D75" s="20" t="str">
        <f t="shared" si="0"/>
        <v>Jandira - SP</v>
      </c>
      <c r="E75" s="20"/>
      <c r="F75" s="20" t="s">
        <v>128</v>
      </c>
      <c r="G75" s="20"/>
      <c r="H75" s="20"/>
      <c r="I75" s="20"/>
      <c r="J75" s="20"/>
      <c r="K75" s="20"/>
      <c r="L75" s="20"/>
      <c r="M75" s="20"/>
      <c r="N75" s="20"/>
      <c r="O75" s="19"/>
      <c r="P75" s="19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20" t="s">
        <v>97</v>
      </c>
      <c r="B76" s="24" t="s">
        <v>37</v>
      </c>
      <c r="C76" s="20" t="s">
        <v>128</v>
      </c>
      <c r="D76" s="20" t="str">
        <f t="shared" si="0"/>
        <v>Jundiaí - SP</v>
      </c>
      <c r="E76" s="20"/>
      <c r="F76" s="20" t="s">
        <v>128</v>
      </c>
      <c r="G76" s="20"/>
      <c r="H76" s="20"/>
      <c r="I76" s="20"/>
      <c r="J76" s="20"/>
      <c r="K76" s="20"/>
      <c r="L76" s="20"/>
      <c r="M76" s="20"/>
      <c r="N76" s="20"/>
      <c r="O76" s="19"/>
      <c r="P76" s="19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20" t="s">
        <v>21</v>
      </c>
      <c r="B77" s="24" t="s">
        <v>37</v>
      </c>
      <c r="C77" s="20" t="s">
        <v>128</v>
      </c>
      <c r="D77" s="20" t="str">
        <f t="shared" si="0"/>
        <v>Mairiporã - SP</v>
      </c>
      <c r="E77" s="20"/>
      <c r="F77" s="20" t="s">
        <v>128</v>
      </c>
      <c r="G77" s="20"/>
      <c r="H77" s="20"/>
      <c r="I77" s="20"/>
      <c r="J77" s="20"/>
      <c r="K77" s="20"/>
      <c r="L77" s="20"/>
      <c r="M77" s="20"/>
      <c r="N77" s="20"/>
      <c r="O77" s="19"/>
      <c r="P77" s="19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20" t="s">
        <v>22</v>
      </c>
      <c r="B78" s="24" t="s">
        <v>37</v>
      </c>
      <c r="C78" s="20" t="s">
        <v>128</v>
      </c>
      <c r="D78" s="20" t="str">
        <f t="shared" si="0"/>
        <v>Mauá - SP</v>
      </c>
      <c r="E78" s="20"/>
      <c r="F78" s="20" t="s">
        <v>128</v>
      </c>
      <c r="G78" s="20"/>
      <c r="H78" s="20"/>
      <c r="I78" s="20"/>
      <c r="J78" s="20"/>
      <c r="K78" s="20"/>
      <c r="L78" s="20"/>
      <c r="M78" s="20"/>
      <c r="N78" s="20"/>
      <c r="O78" s="19"/>
      <c r="P78" s="19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20" t="s">
        <v>23</v>
      </c>
      <c r="B79" s="24" t="s">
        <v>37</v>
      </c>
      <c r="C79" s="20" t="s">
        <v>128</v>
      </c>
      <c r="D79" s="20" t="str">
        <f t="shared" si="0"/>
        <v>Mogi das Cruzes - SP</v>
      </c>
      <c r="E79" s="20"/>
      <c r="F79" s="20" t="s">
        <v>128</v>
      </c>
      <c r="G79" s="20"/>
      <c r="H79" s="20"/>
      <c r="I79" s="20"/>
      <c r="J79" s="20"/>
      <c r="K79" s="20"/>
      <c r="L79" s="20"/>
      <c r="M79" s="20"/>
      <c r="N79" s="20"/>
      <c r="O79" s="19"/>
      <c r="P79" s="19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20" t="s">
        <v>24</v>
      </c>
      <c r="B80" s="24" t="s">
        <v>37</v>
      </c>
      <c r="C80" s="20" t="s">
        <v>128</v>
      </c>
      <c r="D80" s="20" t="str">
        <f t="shared" si="0"/>
        <v>Osasco - SP</v>
      </c>
      <c r="E80" s="20"/>
      <c r="F80" s="20" t="s">
        <v>128</v>
      </c>
      <c r="G80" s="20"/>
      <c r="H80" s="20"/>
      <c r="I80" s="20"/>
      <c r="J80" s="20"/>
      <c r="K80" s="20"/>
      <c r="L80" s="20"/>
      <c r="M80" s="20"/>
      <c r="N80" s="20"/>
      <c r="O80" s="19"/>
      <c r="P80" s="19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20" t="s">
        <v>25</v>
      </c>
      <c r="B81" s="24" t="s">
        <v>37</v>
      </c>
      <c r="C81" s="20" t="s">
        <v>128</v>
      </c>
      <c r="D81" s="20" t="str">
        <f t="shared" si="0"/>
        <v>Poá - SP</v>
      </c>
      <c r="E81" s="20"/>
      <c r="F81" s="20" t="s">
        <v>128</v>
      </c>
      <c r="G81" s="20"/>
      <c r="H81" s="20"/>
      <c r="I81" s="20"/>
      <c r="J81" s="20"/>
      <c r="K81" s="20"/>
      <c r="L81" s="20"/>
      <c r="M81" s="20"/>
      <c r="N81" s="20"/>
      <c r="O81" s="19"/>
      <c r="P81" s="19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20" t="s">
        <v>98</v>
      </c>
      <c r="B82" s="24" t="s">
        <v>37</v>
      </c>
      <c r="C82" s="20" t="s">
        <v>128</v>
      </c>
      <c r="D82" s="20" t="str">
        <f t="shared" si="0"/>
        <v>Riacho Grande - SP</v>
      </c>
      <c r="E82" s="20"/>
      <c r="F82" s="20" t="s">
        <v>128</v>
      </c>
      <c r="G82" s="20"/>
      <c r="H82" s="20"/>
      <c r="I82" s="20"/>
      <c r="J82" s="20"/>
      <c r="K82" s="20"/>
      <c r="L82" s="20"/>
      <c r="M82" s="20"/>
      <c r="N82" s="20"/>
      <c r="O82" s="19"/>
      <c r="P82" s="19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A83" s="20" t="s">
        <v>26</v>
      </c>
      <c r="B83" s="24" t="s">
        <v>37</v>
      </c>
      <c r="C83" s="20" t="s">
        <v>128</v>
      </c>
      <c r="D83" s="20" t="str">
        <f t="shared" si="0"/>
        <v>Ribeirão Pires - SP</v>
      </c>
      <c r="E83" s="20"/>
      <c r="F83" s="20" t="s">
        <v>128</v>
      </c>
      <c r="G83" s="20"/>
      <c r="H83" s="20"/>
      <c r="I83" s="20"/>
      <c r="J83" s="20"/>
      <c r="K83" s="20"/>
      <c r="L83" s="20"/>
      <c r="M83" s="20"/>
      <c r="N83" s="20"/>
      <c r="O83" s="19"/>
      <c r="P83" s="19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A84" s="20" t="s">
        <v>27</v>
      </c>
      <c r="B84" s="24" t="s">
        <v>37</v>
      </c>
      <c r="C84" s="20" t="s">
        <v>128</v>
      </c>
      <c r="D84" s="20" t="str">
        <f t="shared" si="0"/>
        <v>Rio Grande da Serra - SP</v>
      </c>
      <c r="E84" s="20"/>
      <c r="F84" s="20" t="s">
        <v>128</v>
      </c>
      <c r="G84" s="20"/>
      <c r="H84" s="20"/>
      <c r="I84" s="20"/>
      <c r="J84" s="20"/>
      <c r="K84" s="20"/>
      <c r="L84" s="20"/>
      <c r="M84" s="20"/>
      <c r="N84" s="20"/>
      <c r="O84" s="19"/>
      <c r="P84" s="19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A85" s="20" t="s">
        <v>28</v>
      </c>
      <c r="B85" s="24" t="s">
        <v>37</v>
      </c>
      <c r="C85" s="20" t="s">
        <v>128</v>
      </c>
      <c r="D85" s="20" t="str">
        <f t="shared" si="0"/>
        <v>Santa Isabel - SP</v>
      </c>
      <c r="E85" s="20"/>
      <c r="F85" s="20" t="s">
        <v>128</v>
      </c>
      <c r="G85" s="20"/>
      <c r="H85" s="20"/>
      <c r="I85" s="20"/>
      <c r="J85" s="20"/>
      <c r="K85" s="20"/>
      <c r="L85" s="20"/>
      <c r="M85" s="20"/>
      <c r="N85" s="20"/>
      <c r="O85" s="19"/>
      <c r="P85" s="19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A86" s="20" t="s">
        <v>29</v>
      </c>
      <c r="B86" s="24" t="s">
        <v>37</v>
      </c>
      <c r="C86" s="20" t="s">
        <v>128</v>
      </c>
      <c r="D86" s="20" t="str">
        <f t="shared" si="0"/>
        <v>Santana do Parnaíba - SP</v>
      </c>
      <c r="E86" s="20"/>
      <c r="F86" s="20" t="s">
        <v>128</v>
      </c>
      <c r="G86" s="20"/>
      <c r="H86" s="20"/>
      <c r="I86" s="20"/>
      <c r="J86" s="20"/>
      <c r="K86" s="20"/>
      <c r="L86" s="20"/>
      <c r="M86" s="20"/>
      <c r="N86" s="20"/>
      <c r="O86" s="19"/>
      <c r="P86" s="19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">
      <c r="A87" s="20" t="s">
        <v>30</v>
      </c>
      <c r="B87" s="24" t="s">
        <v>37</v>
      </c>
      <c r="C87" s="20" t="s">
        <v>128</v>
      </c>
      <c r="D87" s="20" t="str">
        <f t="shared" si="0"/>
        <v>Santo André - SP</v>
      </c>
      <c r="E87" s="20"/>
      <c r="F87" s="20" t="s">
        <v>128</v>
      </c>
      <c r="G87" s="20"/>
      <c r="H87" s="20"/>
      <c r="I87" s="20"/>
      <c r="J87" s="20"/>
      <c r="K87" s="20"/>
      <c r="L87" s="20"/>
      <c r="M87" s="20"/>
      <c r="N87" s="20"/>
      <c r="O87" s="19"/>
      <c r="P87" s="19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">
      <c r="A88" s="20" t="s">
        <v>31</v>
      </c>
      <c r="B88" s="24" t="s">
        <v>37</v>
      </c>
      <c r="C88" s="20" t="s">
        <v>128</v>
      </c>
      <c r="D88" s="20" t="str">
        <f t="shared" si="0"/>
        <v>São Bernardo do Campo - SP</v>
      </c>
      <c r="E88" s="20"/>
      <c r="F88" s="20" t="s">
        <v>128</v>
      </c>
      <c r="G88" s="20"/>
      <c r="H88" s="20"/>
      <c r="I88" s="20"/>
      <c r="J88" s="20"/>
      <c r="K88" s="20"/>
      <c r="L88" s="20"/>
      <c r="M88" s="20"/>
      <c r="N88" s="20"/>
      <c r="O88" s="19"/>
      <c r="P88" s="19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">
      <c r="A89" s="20" t="s">
        <v>32</v>
      </c>
      <c r="B89" s="24" t="s">
        <v>37</v>
      </c>
      <c r="C89" s="20" t="s">
        <v>128</v>
      </c>
      <c r="D89" s="20" t="str">
        <f t="shared" si="0"/>
        <v>São Caetano do Sul - SP</v>
      </c>
      <c r="E89" s="20"/>
      <c r="F89" s="20" t="s">
        <v>128</v>
      </c>
      <c r="G89" s="20"/>
      <c r="H89" s="20"/>
      <c r="I89" s="20"/>
      <c r="J89" s="20"/>
      <c r="K89" s="20"/>
      <c r="L89" s="20"/>
      <c r="M89" s="20"/>
      <c r="N89" s="20"/>
      <c r="O89" s="19"/>
      <c r="P89" s="19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">
      <c r="A90" s="20" t="s">
        <v>33</v>
      </c>
      <c r="B90" s="24" t="s">
        <v>37</v>
      </c>
      <c r="C90" s="20" t="s">
        <v>128</v>
      </c>
      <c r="D90" s="20" t="str">
        <f t="shared" si="0"/>
        <v>Suzano - SP</v>
      </c>
      <c r="E90" s="20"/>
      <c r="F90" s="20" t="s">
        <v>128</v>
      </c>
      <c r="G90" s="20"/>
      <c r="H90" s="20"/>
      <c r="I90" s="20"/>
      <c r="J90" s="20"/>
      <c r="K90" s="20"/>
      <c r="L90" s="20"/>
      <c r="M90" s="20"/>
      <c r="N90" s="20"/>
      <c r="O90" s="19"/>
      <c r="P90" s="19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">
      <c r="A91" s="20" t="s">
        <v>34</v>
      </c>
      <c r="B91" s="24" t="s">
        <v>37</v>
      </c>
      <c r="C91" s="20" t="s">
        <v>128</v>
      </c>
      <c r="D91" s="20" t="str">
        <f t="shared" si="0"/>
        <v>Taboão da Serra - SP</v>
      </c>
      <c r="E91" s="20"/>
      <c r="F91" s="20" t="s">
        <v>128</v>
      </c>
      <c r="G91" s="20"/>
      <c r="H91" s="20"/>
      <c r="I91" s="20"/>
      <c r="J91" s="20"/>
      <c r="K91" s="20"/>
      <c r="L91" s="20"/>
      <c r="M91" s="20"/>
      <c r="N91" s="20"/>
      <c r="O91" s="19"/>
      <c r="P91" s="19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">
      <c r="A92" s="20" t="s">
        <v>35</v>
      </c>
      <c r="B92" s="24" t="s">
        <v>37</v>
      </c>
      <c r="C92" s="20" t="s">
        <v>128</v>
      </c>
      <c r="D92" s="20" t="str">
        <f t="shared" si="0"/>
        <v>Vargem Grande Paulista - SP</v>
      </c>
      <c r="E92" s="20"/>
      <c r="F92" s="20" t="s">
        <v>128</v>
      </c>
      <c r="G92" s="20"/>
      <c r="H92" s="20"/>
      <c r="I92" s="20"/>
      <c r="J92" s="20"/>
      <c r="K92" s="20"/>
      <c r="L92" s="20"/>
      <c r="M92" s="20"/>
      <c r="N92" s="20"/>
      <c r="O92" s="19"/>
      <c r="P92" s="19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">
      <c r="A93" s="20" t="s">
        <v>99</v>
      </c>
      <c r="B93" s="24" t="s">
        <v>37</v>
      </c>
      <c r="C93" s="20" t="s">
        <v>128</v>
      </c>
      <c r="D93" s="20" t="str">
        <f t="shared" si="0"/>
        <v>Várzea Paulista - SP</v>
      </c>
      <c r="E93" s="20"/>
      <c r="F93" s="20" t="s">
        <v>128</v>
      </c>
      <c r="G93" s="20"/>
      <c r="H93" s="20"/>
      <c r="I93" s="20"/>
      <c r="J93" s="20"/>
      <c r="K93" s="20"/>
      <c r="L93" s="20"/>
      <c r="M93" s="20"/>
      <c r="N93" s="20"/>
      <c r="O93" s="19"/>
      <c r="P93" s="19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">
      <c r="A94" s="20" t="s">
        <v>61</v>
      </c>
      <c r="B94" s="24" t="s">
        <v>38</v>
      </c>
      <c r="C94" s="20" t="s">
        <v>128</v>
      </c>
      <c r="D94" s="20" t="str">
        <f t="shared" si="0"/>
        <v>Aguanil - MG</v>
      </c>
      <c r="E94" s="20"/>
      <c r="F94" s="20" t="s">
        <v>128</v>
      </c>
      <c r="G94" s="20"/>
      <c r="H94" s="20"/>
      <c r="I94" s="20"/>
      <c r="J94" s="20"/>
      <c r="K94" s="20"/>
      <c r="L94" s="20"/>
      <c r="M94" s="20"/>
      <c r="N94" s="20"/>
      <c r="O94" s="19"/>
      <c r="P94" s="19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">
      <c r="A95" s="20" t="s">
        <v>60</v>
      </c>
      <c r="B95" s="24" t="s">
        <v>38</v>
      </c>
      <c r="C95" s="20" t="s">
        <v>128</v>
      </c>
      <c r="D95" s="20" t="str">
        <f t="shared" si="0"/>
        <v>Alfenas - MG</v>
      </c>
      <c r="E95" s="20"/>
      <c r="F95" s="20" t="s">
        <v>128</v>
      </c>
      <c r="G95" s="20"/>
      <c r="H95" s="20"/>
      <c r="I95" s="20"/>
      <c r="J95" s="20"/>
      <c r="K95" s="20"/>
      <c r="L95" s="20"/>
      <c r="M95" s="20"/>
      <c r="N95" s="20"/>
      <c r="O95" s="19"/>
      <c r="P95" s="19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">
      <c r="A96" s="20" t="s">
        <v>39</v>
      </c>
      <c r="B96" s="24" t="s">
        <v>38</v>
      </c>
      <c r="C96" s="20" t="s">
        <v>129</v>
      </c>
      <c r="D96" s="20" t="str">
        <f t="shared" si="0"/>
        <v>Belo Horizonte - MG</v>
      </c>
      <c r="E96" s="20"/>
      <c r="F96" s="20" t="s">
        <v>129</v>
      </c>
      <c r="G96" s="20"/>
      <c r="H96" s="20"/>
      <c r="I96" s="20"/>
      <c r="J96" s="20"/>
      <c r="K96" s="20"/>
      <c r="L96" s="20"/>
      <c r="M96" s="20"/>
      <c r="N96" s="20"/>
      <c r="O96" s="19"/>
      <c r="P96" s="19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">
      <c r="A97" s="20" t="s">
        <v>40</v>
      </c>
      <c r="B97" s="24" t="s">
        <v>38</v>
      </c>
      <c r="C97" s="20" t="s">
        <v>129</v>
      </c>
      <c r="D97" s="20" t="str">
        <f t="shared" si="0"/>
        <v>Betim - MG</v>
      </c>
      <c r="E97" s="20"/>
      <c r="F97" s="20" t="s">
        <v>129</v>
      </c>
      <c r="G97" s="20"/>
      <c r="H97" s="20"/>
      <c r="I97" s="20"/>
      <c r="J97" s="20"/>
      <c r="K97" s="20"/>
      <c r="L97" s="20"/>
      <c r="M97" s="20"/>
      <c r="N97" s="20"/>
      <c r="O97" s="19"/>
      <c r="P97" s="19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">
      <c r="A98" s="20" t="s">
        <v>62</v>
      </c>
      <c r="B98" s="24" t="s">
        <v>38</v>
      </c>
      <c r="C98" s="20" t="s">
        <v>129</v>
      </c>
      <c r="D98" s="20" t="str">
        <f t="shared" si="0"/>
        <v>Boa Esperança - MG</v>
      </c>
      <c r="E98" s="20"/>
      <c r="F98" s="20" t="s">
        <v>129</v>
      </c>
      <c r="G98" s="20"/>
      <c r="H98" s="20"/>
      <c r="I98" s="20"/>
      <c r="J98" s="20"/>
      <c r="K98" s="20"/>
      <c r="L98" s="20"/>
      <c r="M98" s="20"/>
      <c r="N98" s="20"/>
      <c r="O98" s="19"/>
      <c r="P98" s="19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">
      <c r="A99" s="20" t="s">
        <v>63</v>
      </c>
      <c r="B99" s="24" t="s">
        <v>38</v>
      </c>
      <c r="C99" s="20" t="s">
        <v>129</v>
      </c>
      <c r="D99" s="20" t="str">
        <f t="shared" si="0"/>
        <v>Bom Sucesso - MG</v>
      </c>
      <c r="E99" s="20"/>
      <c r="F99" s="20" t="s">
        <v>129</v>
      </c>
      <c r="G99" s="20"/>
      <c r="H99" s="20"/>
      <c r="I99" s="20"/>
      <c r="J99" s="20"/>
      <c r="K99" s="20"/>
      <c r="L99" s="20"/>
      <c r="M99" s="20"/>
      <c r="N99" s="20"/>
      <c r="O99" s="19"/>
      <c r="P99" s="19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">
      <c r="A100" s="20" t="s">
        <v>64</v>
      </c>
      <c r="B100" s="24" t="s">
        <v>38</v>
      </c>
      <c r="C100" s="20" t="s">
        <v>128</v>
      </c>
      <c r="D100" s="20" t="str">
        <f t="shared" si="0"/>
        <v>Bonfim - MG</v>
      </c>
      <c r="E100" s="20"/>
      <c r="F100" s="20" t="s">
        <v>128</v>
      </c>
      <c r="G100" s="20"/>
      <c r="H100" s="20"/>
      <c r="I100" s="20"/>
      <c r="J100" s="20"/>
      <c r="K100" s="20"/>
      <c r="L100" s="20"/>
      <c r="M100" s="20"/>
      <c r="N100" s="20"/>
      <c r="O100" s="19"/>
      <c r="P100" s="19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">
      <c r="A101" s="20" t="s">
        <v>100</v>
      </c>
      <c r="B101" s="24" t="s">
        <v>38</v>
      </c>
      <c r="C101" s="20" t="s">
        <v>128</v>
      </c>
      <c r="D101" s="20" t="str">
        <f t="shared" si="0"/>
        <v>Campanha - MG</v>
      </c>
      <c r="E101" s="20"/>
      <c r="F101" s="20" t="s">
        <v>128</v>
      </c>
      <c r="G101" s="20"/>
      <c r="H101" s="20"/>
      <c r="I101" s="20"/>
      <c r="J101" s="20"/>
      <c r="K101" s="20"/>
      <c r="L101" s="20"/>
      <c r="M101" s="20"/>
      <c r="N101" s="20"/>
      <c r="O101" s="19"/>
      <c r="P101" s="19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">
      <c r="A102" s="20" t="s">
        <v>65</v>
      </c>
      <c r="B102" s="24" t="s">
        <v>38</v>
      </c>
      <c r="C102" s="20" t="s">
        <v>129</v>
      </c>
      <c r="D102" s="20" t="str">
        <f t="shared" si="0"/>
        <v>Campo Belo - MG</v>
      </c>
      <c r="E102" s="20"/>
      <c r="F102" s="20" t="s">
        <v>129</v>
      </c>
      <c r="G102" s="20"/>
      <c r="H102" s="20"/>
      <c r="I102" s="20"/>
      <c r="J102" s="20"/>
      <c r="K102" s="20"/>
      <c r="L102" s="20"/>
      <c r="M102" s="20"/>
      <c r="N102" s="20"/>
      <c r="O102" s="19"/>
      <c r="P102" s="19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">
      <c r="A103" s="20" t="s">
        <v>66</v>
      </c>
      <c r="B103" s="24" t="s">
        <v>38</v>
      </c>
      <c r="C103" s="20" t="s">
        <v>129</v>
      </c>
      <c r="D103" s="20" t="str">
        <f t="shared" si="0"/>
        <v>Campo do Meio - MG</v>
      </c>
      <c r="E103" s="20"/>
      <c r="F103" s="20" t="s">
        <v>129</v>
      </c>
      <c r="G103" s="20"/>
      <c r="H103" s="20"/>
      <c r="I103" s="20"/>
      <c r="J103" s="20"/>
      <c r="K103" s="20"/>
      <c r="L103" s="20"/>
      <c r="M103" s="20"/>
      <c r="N103" s="20"/>
      <c r="O103" s="19"/>
      <c r="P103" s="19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3">
      <c r="A104" s="20" t="s">
        <v>67</v>
      </c>
      <c r="B104" s="24" t="s">
        <v>38</v>
      </c>
      <c r="C104" s="20" t="s">
        <v>129</v>
      </c>
      <c r="D104" s="20" t="str">
        <f t="shared" si="0"/>
        <v>Campos Gerais - MG</v>
      </c>
      <c r="E104" s="20"/>
      <c r="F104" s="20" t="s">
        <v>129</v>
      </c>
      <c r="G104" s="20"/>
      <c r="H104" s="20"/>
      <c r="I104" s="20"/>
      <c r="J104" s="20"/>
      <c r="K104" s="20"/>
      <c r="L104" s="20"/>
      <c r="M104" s="20"/>
      <c r="N104" s="20"/>
      <c r="O104" s="19"/>
      <c r="P104" s="19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3">
      <c r="A105" s="20" t="s">
        <v>68</v>
      </c>
      <c r="B105" s="24" t="s">
        <v>38</v>
      </c>
      <c r="C105" s="20" t="s">
        <v>129</v>
      </c>
      <c r="D105" s="20" t="str">
        <f t="shared" si="0"/>
        <v>Cana Verde - MG</v>
      </c>
      <c r="E105" s="20"/>
      <c r="F105" s="20" t="s">
        <v>129</v>
      </c>
      <c r="G105" s="20"/>
      <c r="H105" s="20"/>
      <c r="I105" s="20"/>
      <c r="J105" s="20"/>
      <c r="K105" s="20"/>
      <c r="L105" s="20"/>
      <c r="M105" s="20"/>
      <c r="N105" s="20"/>
      <c r="O105" s="19"/>
      <c r="P105" s="19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3">
      <c r="A106" s="20" t="s">
        <v>69</v>
      </c>
      <c r="B106" s="24" t="s">
        <v>38</v>
      </c>
      <c r="C106" s="20" t="s">
        <v>128</v>
      </c>
      <c r="D106" s="20" t="str">
        <f t="shared" si="0"/>
        <v>Candeias - MG</v>
      </c>
      <c r="E106" s="20"/>
      <c r="F106" s="20" t="s">
        <v>128</v>
      </c>
      <c r="G106" s="20"/>
      <c r="H106" s="20"/>
      <c r="I106" s="20"/>
      <c r="J106" s="20"/>
      <c r="K106" s="20"/>
      <c r="L106" s="20"/>
      <c r="M106" s="20"/>
      <c r="N106" s="20"/>
      <c r="O106" s="19"/>
      <c r="P106" s="19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3">
      <c r="A107" s="20" t="s">
        <v>101</v>
      </c>
      <c r="B107" s="24" t="s">
        <v>38</v>
      </c>
      <c r="C107" s="20" t="s">
        <v>129</v>
      </c>
      <c r="D107" s="20" t="str">
        <f t="shared" si="0"/>
        <v>Carmo da Cachoeira - MG</v>
      </c>
      <c r="E107" s="20"/>
      <c r="F107" s="20" t="s">
        <v>129</v>
      </c>
      <c r="G107" s="20"/>
      <c r="H107" s="20"/>
      <c r="I107" s="20"/>
      <c r="J107" s="20"/>
      <c r="K107" s="20"/>
      <c r="L107" s="20"/>
      <c r="M107" s="20"/>
      <c r="N107" s="20"/>
      <c r="O107" s="19"/>
      <c r="P107" s="19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3">
      <c r="A108" s="20" t="s">
        <v>70</v>
      </c>
      <c r="B108" s="24" t="s">
        <v>38</v>
      </c>
      <c r="C108" s="20" t="s">
        <v>129</v>
      </c>
      <c r="D108" s="20" t="str">
        <f t="shared" si="0"/>
        <v>Carmo da Mata - MG</v>
      </c>
      <c r="E108" s="20"/>
      <c r="F108" s="20" t="s">
        <v>129</v>
      </c>
      <c r="G108" s="20"/>
      <c r="H108" s="20"/>
      <c r="I108" s="20"/>
      <c r="J108" s="20"/>
      <c r="K108" s="20"/>
      <c r="L108" s="20"/>
      <c r="M108" s="20"/>
      <c r="N108" s="20"/>
      <c r="O108" s="19"/>
      <c r="P108" s="19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3">
      <c r="A109" s="20" t="s">
        <v>71</v>
      </c>
      <c r="B109" s="24" t="s">
        <v>38</v>
      </c>
      <c r="C109" s="20" t="s">
        <v>129</v>
      </c>
      <c r="D109" s="20" t="str">
        <f t="shared" si="0"/>
        <v>Carmópolis de Minas - MG</v>
      </c>
      <c r="E109" s="20"/>
      <c r="F109" s="20" t="s">
        <v>129</v>
      </c>
      <c r="G109" s="20"/>
      <c r="H109" s="20"/>
      <c r="I109" s="20"/>
      <c r="J109" s="20"/>
      <c r="K109" s="20"/>
      <c r="L109" s="20"/>
      <c r="M109" s="20"/>
      <c r="N109" s="20"/>
      <c r="O109" s="19"/>
      <c r="P109" s="19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3">
      <c r="A110" s="20" t="s">
        <v>72</v>
      </c>
      <c r="B110" s="24" t="s">
        <v>38</v>
      </c>
      <c r="C110" s="20" t="s">
        <v>129</v>
      </c>
      <c r="D110" s="20" t="str">
        <f t="shared" si="0"/>
        <v>Cláudio - MG</v>
      </c>
      <c r="E110" s="20"/>
      <c r="F110" s="20" t="s">
        <v>129</v>
      </c>
      <c r="G110" s="20"/>
      <c r="H110" s="20"/>
      <c r="I110" s="20"/>
      <c r="J110" s="20"/>
      <c r="K110" s="20"/>
      <c r="L110" s="20"/>
      <c r="M110" s="20"/>
      <c r="N110" s="20"/>
      <c r="O110" s="19"/>
      <c r="P110" s="19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3">
      <c r="A111" s="20" t="s">
        <v>41</v>
      </c>
      <c r="B111" s="24" t="s">
        <v>38</v>
      </c>
      <c r="C111" s="20" t="s">
        <v>128</v>
      </c>
      <c r="D111" s="20" t="str">
        <f t="shared" si="0"/>
        <v>Confins - MG</v>
      </c>
      <c r="E111" s="20"/>
      <c r="F111" s="20" t="s">
        <v>128</v>
      </c>
      <c r="G111" s="20"/>
      <c r="H111" s="20"/>
      <c r="I111" s="20"/>
      <c r="J111" s="20"/>
      <c r="K111" s="20"/>
      <c r="L111" s="20"/>
      <c r="M111" s="20"/>
      <c r="N111" s="20"/>
      <c r="O111" s="19"/>
      <c r="P111" s="19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3">
      <c r="A112" s="20" t="s">
        <v>42</v>
      </c>
      <c r="B112" s="24" t="s">
        <v>38</v>
      </c>
      <c r="C112" s="20" t="s">
        <v>129</v>
      </c>
      <c r="D112" s="20" t="str">
        <f t="shared" si="0"/>
        <v>Contagem - MG</v>
      </c>
      <c r="E112" s="20"/>
      <c r="F112" s="20" t="s">
        <v>129</v>
      </c>
      <c r="G112" s="20"/>
      <c r="H112" s="20"/>
      <c r="I112" s="20"/>
      <c r="J112" s="20"/>
      <c r="K112" s="20"/>
      <c r="L112" s="20"/>
      <c r="M112" s="20"/>
      <c r="N112" s="20"/>
      <c r="O112" s="19"/>
      <c r="P112" s="19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3">
      <c r="A113" s="20" t="s">
        <v>73</v>
      </c>
      <c r="B113" s="24" t="s">
        <v>38</v>
      </c>
      <c r="C113" s="20" t="s">
        <v>129</v>
      </c>
      <c r="D113" s="20" t="str">
        <f t="shared" si="0"/>
        <v>Coqueiral - MG</v>
      </c>
      <c r="E113" s="20"/>
      <c r="F113" s="20" t="s">
        <v>129</v>
      </c>
      <c r="G113" s="20"/>
      <c r="H113" s="20"/>
      <c r="I113" s="20"/>
      <c r="J113" s="20"/>
      <c r="K113" s="20"/>
      <c r="L113" s="20"/>
      <c r="M113" s="20"/>
      <c r="N113" s="20"/>
      <c r="O113" s="19"/>
      <c r="P113" s="19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3">
      <c r="A114" s="20" t="s">
        <v>74</v>
      </c>
      <c r="B114" s="24" t="s">
        <v>38</v>
      </c>
      <c r="C114" s="20" t="s">
        <v>129</v>
      </c>
      <c r="D114" s="20" t="str">
        <f t="shared" si="0"/>
        <v>Cristais - MG</v>
      </c>
      <c r="E114" s="20"/>
      <c r="F114" s="20" t="s">
        <v>129</v>
      </c>
      <c r="G114" s="20"/>
      <c r="H114" s="20"/>
      <c r="I114" s="20"/>
      <c r="J114" s="20"/>
      <c r="K114" s="20"/>
      <c r="L114" s="20"/>
      <c r="M114" s="20"/>
      <c r="N114" s="20"/>
      <c r="O114" s="19"/>
      <c r="P114" s="19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3">
      <c r="A115" s="20" t="s">
        <v>75</v>
      </c>
      <c r="B115" s="24" t="s">
        <v>38</v>
      </c>
      <c r="C115" s="20" t="s">
        <v>128</v>
      </c>
      <c r="D115" s="20" t="str">
        <f t="shared" si="0"/>
        <v>Crucilândia - MG</v>
      </c>
      <c r="E115" s="20"/>
      <c r="F115" s="20" t="s">
        <v>128</v>
      </c>
      <c r="G115" s="20"/>
      <c r="H115" s="20"/>
      <c r="I115" s="20"/>
      <c r="J115" s="20"/>
      <c r="K115" s="20"/>
      <c r="L115" s="20"/>
      <c r="M115" s="20"/>
      <c r="N115" s="20"/>
      <c r="O115" s="19"/>
      <c r="P115" s="19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3">
      <c r="A116" s="20" t="s">
        <v>77</v>
      </c>
      <c r="B116" s="24" t="s">
        <v>38</v>
      </c>
      <c r="C116" s="20" t="s">
        <v>128</v>
      </c>
      <c r="D116" s="20" t="str">
        <f t="shared" si="0"/>
        <v>Desterro de Entre Rios - MG</v>
      </c>
      <c r="E116" s="20"/>
      <c r="F116" s="20" t="s">
        <v>128</v>
      </c>
      <c r="G116" s="20"/>
      <c r="H116" s="20"/>
      <c r="I116" s="20"/>
      <c r="J116" s="20"/>
      <c r="K116" s="20"/>
      <c r="L116" s="20"/>
      <c r="M116" s="20"/>
      <c r="N116" s="20"/>
      <c r="O116" s="19"/>
      <c r="P116" s="19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3">
      <c r="A117" s="20" t="s">
        <v>78</v>
      </c>
      <c r="B117" s="24" t="s">
        <v>38</v>
      </c>
      <c r="C117" s="20" t="s">
        <v>128</v>
      </c>
      <c r="D117" s="20" t="str">
        <f t="shared" si="0"/>
        <v>Divinópolis - MG</v>
      </c>
      <c r="E117" s="20"/>
      <c r="F117" s="20" t="s">
        <v>128</v>
      </c>
      <c r="G117" s="20"/>
      <c r="H117" s="20"/>
      <c r="I117" s="20"/>
      <c r="J117" s="20"/>
      <c r="K117" s="20"/>
      <c r="L117" s="20"/>
      <c r="M117" s="20"/>
      <c r="N117" s="20"/>
      <c r="O117" s="19"/>
      <c r="P117" s="19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3">
      <c r="A118" s="20" t="s">
        <v>76</v>
      </c>
      <c r="B118" s="24" t="s">
        <v>38</v>
      </c>
      <c r="C118" s="20" t="s">
        <v>129</v>
      </c>
      <c r="D118" s="20" t="str">
        <f t="shared" si="0"/>
        <v>Elói Mendes - MG</v>
      </c>
      <c r="E118" s="20"/>
      <c r="F118" s="20" t="s">
        <v>129</v>
      </c>
      <c r="G118" s="20"/>
      <c r="H118" s="20"/>
      <c r="I118" s="20"/>
      <c r="J118" s="20"/>
      <c r="K118" s="20"/>
      <c r="L118" s="20"/>
      <c r="M118" s="20"/>
      <c r="N118" s="20"/>
      <c r="O118" s="19"/>
      <c r="P118" s="19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3">
      <c r="A119" s="20" t="s">
        <v>43</v>
      </c>
      <c r="B119" s="24" t="s">
        <v>38</v>
      </c>
      <c r="C119" s="20" t="s">
        <v>128</v>
      </c>
      <c r="D119" s="20" t="str">
        <f t="shared" si="0"/>
        <v>Ibirité - MG</v>
      </c>
      <c r="E119" s="20"/>
      <c r="F119" s="20" t="s">
        <v>128</v>
      </c>
      <c r="G119" s="20"/>
      <c r="H119" s="20"/>
      <c r="I119" s="20"/>
      <c r="J119" s="20"/>
      <c r="K119" s="20"/>
      <c r="L119" s="20"/>
      <c r="M119" s="20"/>
      <c r="N119" s="20"/>
      <c r="O119" s="19"/>
      <c r="P119" s="19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3">
      <c r="A120" s="20" t="s">
        <v>79</v>
      </c>
      <c r="B120" s="24" t="s">
        <v>38</v>
      </c>
      <c r="C120" s="20" t="s">
        <v>128</v>
      </c>
      <c r="D120" s="20" t="str">
        <f t="shared" ref="D120:D166" si="1">A120&amp;" - "&amp;B120</f>
        <v>Ibituruna - MG</v>
      </c>
      <c r="E120" s="20"/>
      <c r="F120" s="20" t="s">
        <v>128</v>
      </c>
      <c r="G120" s="20"/>
      <c r="H120" s="20"/>
      <c r="I120" s="20"/>
      <c r="J120" s="20"/>
      <c r="K120" s="20"/>
      <c r="L120" s="20"/>
      <c r="M120" s="20"/>
      <c r="N120" s="20"/>
      <c r="O120" s="19"/>
      <c r="P120" s="19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3">
      <c r="A121" s="20" t="s">
        <v>44</v>
      </c>
      <c r="B121" s="24" t="s">
        <v>38</v>
      </c>
      <c r="C121" s="20" t="s">
        <v>129</v>
      </c>
      <c r="D121" s="20" t="str">
        <f t="shared" si="1"/>
        <v>Igarapé - MG</v>
      </c>
      <c r="E121" s="20"/>
      <c r="F121" s="20" t="s">
        <v>129</v>
      </c>
      <c r="G121" s="20"/>
      <c r="H121" s="20"/>
      <c r="I121" s="20"/>
      <c r="J121" s="20"/>
      <c r="K121" s="20"/>
      <c r="L121" s="20"/>
      <c r="M121" s="20"/>
      <c r="N121" s="20"/>
      <c r="O121" s="19"/>
      <c r="P121" s="19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3">
      <c r="A122" s="20" t="s">
        <v>80</v>
      </c>
      <c r="B122" s="24" t="s">
        <v>38</v>
      </c>
      <c r="C122" s="20" t="s">
        <v>129</v>
      </c>
      <c r="D122" s="20" t="str">
        <f t="shared" si="1"/>
        <v>Ijaci - MG</v>
      </c>
      <c r="E122" s="20"/>
      <c r="F122" s="20" t="s">
        <v>129</v>
      </c>
      <c r="G122" s="20"/>
      <c r="H122" s="20"/>
      <c r="I122" s="20"/>
      <c r="J122" s="20"/>
      <c r="K122" s="20"/>
      <c r="L122" s="20"/>
      <c r="M122" s="20"/>
      <c r="N122" s="20"/>
      <c r="O122" s="19"/>
      <c r="P122" s="19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3">
      <c r="A123" s="20" t="s">
        <v>45</v>
      </c>
      <c r="B123" s="24" t="s">
        <v>38</v>
      </c>
      <c r="C123" s="20" t="s">
        <v>129</v>
      </c>
      <c r="D123" s="20" t="str">
        <f t="shared" si="1"/>
        <v>Itaguara - MG</v>
      </c>
      <c r="E123" s="20"/>
      <c r="F123" s="20" t="s">
        <v>129</v>
      </c>
      <c r="G123" s="20"/>
      <c r="H123" s="20"/>
      <c r="I123" s="20"/>
      <c r="J123" s="20"/>
      <c r="K123" s="20"/>
      <c r="L123" s="20"/>
      <c r="M123" s="20"/>
      <c r="N123" s="20"/>
      <c r="O123" s="19"/>
      <c r="P123" s="19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3">
      <c r="A124" s="20" t="s">
        <v>82</v>
      </c>
      <c r="B124" s="24" t="s">
        <v>38</v>
      </c>
      <c r="C124" s="20" t="s">
        <v>128</v>
      </c>
      <c r="D124" s="20" t="str">
        <f t="shared" si="1"/>
        <v>Itapecerica - MG</v>
      </c>
      <c r="E124" s="20"/>
      <c r="F124" s="20" t="s">
        <v>128</v>
      </c>
      <c r="G124" s="20"/>
      <c r="H124" s="20"/>
      <c r="I124" s="20"/>
      <c r="J124" s="20"/>
      <c r="K124" s="20"/>
      <c r="L124" s="20"/>
      <c r="M124" s="20"/>
      <c r="N124" s="20"/>
      <c r="O124" s="19"/>
      <c r="P124" s="19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3">
      <c r="A125" s="20" t="s">
        <v>46</v>
      </c>
      <c r="B125" s="24" t="s">
        <v>38</v>
      </c>
      <c r="C125" s="20" t="s">
        <v>129</v>
      </c>
      <c r="D125" s="20" t="str">
        <f t="shared" si="1"/>
        <v>Itatiaiuçu - MG</v>
      </c>
      <c r="E125" s="20"/>
      <c r="F125" s="20" t="s">
        <v>129</v>
      </c>
      <c r="G125" s="20"/>
      <c r="H125" s="20"/>
      <c r="I125" s="20"/>
      <c r="J125" s="20"/>
      <c r="K125" s="20"/>
      <c r="L125" s="20"/>
      <c r="M125" s="20"/>
      <c r="N125" s="20"/>
      <c r="O125" s="19"/>
      <c r="P125" s="19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3">
      <c r="A126" s="20" t="s">
        <v>102</v>
      </c>
      <c r="B126" s="24" t="s">
        <v>38</v>
      </c>
      <c r="C126" s="20" t="s">
        <v>128</v>
      </c>
      <c r="D126" s="20" t="str">
        <f t="shared" si="1"/>
        <v>Itaúna - MG</v>
      </c>
      <c r="E126" s="20"/>
      <c r="F126" s="20" t="s">
        <v>128</v>
      </c>
      <c r="G126" s="20"/>
      <c r="H126" s="20"/>
      <c r="I126" s="20"/>
      <c r="J126" s="20"/>
      <c r="K126" s="20"/>
      <c r="L126" s="20"/>
      <c r="M126" s="20"/>
      <c r="N126" s="20"/>
      <c r="O126" s="19"/>
      <c r="P126" s="19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3">
      <c r="A127" s="20" t="s">
        <v>81</v>
      </c>
      <c r="B127" s="24" t="s">
        <v>38</v>
      </c>
      <c r="C127" s="20" t="s">
        <v>129</v>
      </c>
      <c r="D127" s="20" t="str">
        <f t="shared" si="1"/>
        <v>Itumirim - MG</v>
      </c>
      <c r="E127" s="20"/>
      <c r="F127" s="20" t="s">
        <v>129</v>
      </c>
      <c r="G127" s="20"/>
      <c r="H127" s="20"/>
      <c r="I127" s="20"/>
      <c r="J127" s="20"/>
      <c r="K127" s="20"/>
      <c r="L127" s="20"/>
      <c r="M127" s="20"/>
      <c r="N127" s="20"/>
      <c r="O127" s="19"/>
      <c r="P127" s="19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3">
      <c r="A128" s="20" t="s">
        <v>103</v>
      </c>
      <c r="B128" s="24" t="s">
        <v>38</v>
      </c>
      <c r="C128" s="20" t="s">
        <v>128</v>
      </c>
      <c r="D128" s="20" t="str">
        <f t="shared" si="1"/>
        <v>Itutinga - MG</v>
      </c>
      <c r="E128" s="20"/>
      <c r="F128" s="20" t="s">
        <v>128</v>
      </c>
      <c r="G128" s="20"/>
      <c r="H128" s="20"/>
      <c r="I128" s="20"/>
      <c r="J128" s="20"/>
      <c r="K128" s="20"/>
      <c r="L128" s="20"/>
      <c r="M128" s="20"/>
      <c r="N128" s="20"/>
      <c r="O128" s="19"/>
      <c r="P128" s="19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3">
      <c r="A129" s="20" t="s">
        <v>47</v>
      </c>
      <c r="B129" s="24" t="s">
        <v>38</v>
      </c>
      <c r="C129" s="20" t="s">
        <v>128</v>
      </c>
      <c r="D129" s="20" t="str">
        <f t="shared" si="1"/>
        <v>Juatuba - MG</v>
      </c>
      <c r="E129" s="20"/>
      <c r="F129" s="20" t="s">
        <v>128</v>
      </c>
      <c r="G129" s="20"/>
      <c r="H129" s="20"/>
      <c r="I129" s="20"/>
      <c r="J129" s="20"/>
      <c r="K129" s="20"/>
      <c r="L129" s="20"/>
      <c r="M129" s="20"/>
      <c r="N129" s="20"/>
      <c r="O129" s="19"/>
      <c r="P129" s="19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3">
      <c r="A130" s="20" t="s">
        <v>48</v>
      </c>
      <c r="B130" s="24" t="s">
        <v>38</v>
      </c>
      <c r="C130" s="20" t="s">
        <v>128</v>
      </c>
      <c r="D130" s="20" t="str">
        <f t="shared" si="1"/>
        <v>Lagoa Santa - MG</v>
      </c>
      <c r="E130" s="20"/>
      <c r="F130" s="20" t="s">
        <v>128</v>
      </c>
      <c r="G130" s="20"/>
      <c r="H130" s="20"/>
      <c r="I130" s="20"/>
      <c r="J130" s="20"/>
      <c r="K130" s="20"/>
      <c r="L130" s="20"/>
      <c r="M130" s="20"/>
      <c r="N130" s="20"/>
      <c r="O130" s="19"/>
      <c r="P130" s="19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3">
      <c r="A131" s="20" t="s">
        <v>83</v>
      </c>
      <c r="B131" s="24" t="s">
        <v>38</v>
      </c>
      <c r="C131" s="20" t="s">
        <v>129</v>
      </c>
      <c r="D131" s="20" t="str">
        <f t="shared" si="1"/>
        <v>Lavras - MG</v>
      </c>
      <c r="E131" s="20"/>
      <c r="F131" s="20" t="s">
        <v>129</v>
      </c>
      <c r="G131" s="20"/>
      <c r="H131" s="20"/>
      <c r="I131" s="20"/>
      <c r="J131" s="20"/>
      <c r="K131" s="20"/>
      <c r="L131" s="20"/>
      <c r="M131" s="20"/>
      <c r="N131" s="20"/>
      <c r="O131" s="19"/>
      <c r="P131" s="19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3">
      <c r="A132" s="20" t="s">
        <v>84</v>
      </c>
      <c r="B132" s="24" t="s">
        <v>38</v>
      </c>
      <c r="C132" s="20" t="s">
        <v>128</v>
      </c>
      <c r="D132" s="20" t="str">
        <f t="shared" si="1"/>
        <v>Luminárias - MG</v>
      </c>
      <c r="E132" s="20"/>
      <c r="F132" s="20" t="s">
        <v>128</v>
      </c>
      <c r="G132" s="20"/>
      <c r="H132" s="20"/>
      <c r="I132" s="20"/>
      <c r="J132" s="20"/>
      <c r="K132" s="20"/>
      <c r="L132" s="20"/>
      <c r="M132" s="20"/>
      <c r="N132" s="20"/>
      <c r="O132" s="19"/>
      <c r="P132" s="19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3">
      <c r="A133" s="20" t="s">
        <v>85</v>
      </c>
      <c r="B133" s="24" t="s">
        <v>38</v>
      </c>
      <c r="C133" s="20" t="s">
        <v>128</v>
      </c>
      <c r="D133" s="20" t="str">
        <f t="shared" si="1"/>
        <v>Machado - MG</v>
      </c>
      <c r="E133" s="20"/>
      <c r="F133" s="20" t="s">
        <v>128</v>
      </c>
      <c r="G133" s="20"/>
      <c r="H133" s="20"/>
      <c r="I133" s="20"/>
      <c r="J133" s="20"/>
      <c r="K133" s="20"/>
      <c r="L133" s="20"/>
      <c r="M133" s="20"/>
      <c r="N133" s="20"/>
      <c r="O133" s="19"/>
      <c r="P133" s="19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3">
      <c r="A134" s="20" t="s">
        <v>49</v>
      </c>
      <c r="B134" s="24" t="s">
        <v>38</v>
      </c>
      <c r="C134" s="20" t="s">
        <v>128</v>
      </c>
      <c r="D134" s="20" t="str">
        <f t="shared" si="1"/>
        <v>Mateus Leme - MG</v>
      </c>
      <c r="E134" s="20"/>
      <c r="F134" s="20" t="s">
        <v>128</v>
      </c>
      <c r="G134" s="20"/>
      <c r="H134" s="20"/>
      <c r="I134" s="20"/>
      <c r="J134" s="20"/>
      <c r="K134" s="20"/>
      <c r="L134" s="20"/>
      <c r="M134" s="20"/>
      <c r="N134" s="20"/>
      <c r="O134" s="19"/>
      <c r="P134" s="19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3">
      <c r="A135" s="20" t="s">
        <v>50</v>
      </c>
      <c r="B135" s="24" t="s">
        <v>38</v>
      </c>
      <c r="C135" s="20" t="s">
        <v>128</v>
      </c>
      <c r="D135" s="20" t="str">
        <f t="shared" si="1"/>
        <v>Matozinhos - MG</v>
      </c>
      <c r="E135" s="20"/>
      <c r="F135" s="20" t="s">
        <v>128</v>
      </c>
      <c r="G135" s="20"/>
      <c r="H135" s="20"/>
      <c r="I135" s="20"/>
      <c r="J135" s="20"/>
      <c r="K135" s="20"/>
      <c r="L135" s="20"/>
      <c r="M135" s="20"/>
      <c r="N135" s="20"/>
      <c r="O135" s="19"/>
      <c r="P135" s="19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3">
      <c r="A136" s="20" t="s">
        <v>104</v>
      </c>
      <c r="B136" s="24" t="s">
        <v>38</v>
      </c>
      <c r="C136" s="20" t="s">
        <v>128</v>
      </c>
      <c r="D136" s="20" t="str">
        <f t="shared" si="1"/>
        <v>Monsenhor Paulo - MG</v>
      </c>
      <c r="E136" s="20"/>
      <c r="F136" s="20" t="s">
        <v>128</v>
      </c>
      <c r="G136" s="20"/>
      <c r="H136" s="20"/>
      <c r="I136" s="20"/>
      <c r="J136" s="20"/>
      <c r="K136" s="20"/>
      <c r="L136" s="20"/>
      <c r="M136" s="20"/>
      <c r="N136" s="20"/>
      <c r="O136" s="19"/>
      <c r="P136" s="19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3">
      <c r="A137" s="20" t="s">
        <v>105</v>
      </c>
      <c r="B137" s="24" t="s">
        <v>38</v>
      </c>
      <c r="C137" s="20" t="s">
        <v>128</v>
      </c>
      <c r="D137" s="20" t="str">
        <f t="shared" si="1"/>
        <v>Nazareno  - MG</v>
      </c>
      <c r="E137" s="20"/>
      <c r="F137" s="20" t="s">
        <v>128</v>
      </c>
      <c r="G137" s="20"/>
      <c r="H137" s="20"/>
      <c r="I137" s="20"/>
      <c r="J137" s="20"/>
      <c r="K137" s="20"/>
      <c r="L137" s="20"/>
      <c r="M137" s="20"/>
      <c r="N137" s="20"/>
      <c r="O137" s="19"/>
      <c r="P137" s="19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3">
      <c r="A138" s="20" t="s">
        <v>86</v>
      </c>
      <c r="B138" s="24" t="s">
        <v>38</v>
      </c>
      <c r="C138" s="20" t="s">
        <v>129</v>
      </c>
      <c r="D138" s="20" t="str">
        <f t="shared" si="1"/>
        <v>Nepomuceno - MG</v>
      </c>
      <c r="E138" s="20"/>
      <c r="F138" s="20" t="s">
        <v>129</v>
      </c>
      <c r="G138" s="20"/>
      <c r="H138" s="20"/>
      <c r="I138" s="20"/>
      <c r="J138" s="20"/>
      <c r="K138" s="20"/>
      <c r="L138" s="20"/>
      <c r="M138" s="20"/>
      <c r="N138" s="20"/>
      <c r="O138" s="19"/>
      <c r="P138" s="19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3">
      <c r="A139" s="20" t="s">
        <v>51</v>
      </c>
      <c r="B139" s="24" t="s">
        <v>38</v>
      </c>
      <c r="C139" s="20" t="s">
        <v>128</v>
      </c>
      <c r="D139" s="20" t="str">
        <f t="shared" si="1"/>
        <v>Nova Lima - MG</v>
      </c>
      <c r="E139" s="20"/>
      <c r="F139" s="20" t="s">
        <v>128</v>
      </c>
      <c r="G139" s="20"/>
      <c r="H139" s="20"/>
      <c r="I139" s="20"/>
      <c r="J139" s="20"/>
      <c r="K139" s="20"/>
      <c r="L139" s="20"/>
      <c r="M139" s="20"/>
      <c r="N139" s="20"/>
      <c r="O139" s="19"/>
      <c r="P139" s="19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3">
      <c r="A140" s="20" t="s">
        <v>87</v>
      </c>
      <c r="B140" s="24" t="s">
        <v>38</v>
      </c>
      <c r="C140" s="20" t="s">
        <v>129</v>
      </c>
      <c r="D140" s="20" t="str">
        <f t="shared" si="1"/>
        <v>Oliveira - MG</v>
      </c>
      <c r="E140" s="20"/>
      <c r="F140" s="20" t="s">
        <v>129</v>
      </c>
      <c r="G140" s="20"/>
      <c r="H140" s="20"/>
      <c r="I140" s="20"/>
      <c r="J140" s="20"/>
      <c r="K140" s="20"/>
      <c r="L140" s="20"/>
      <c r="M140" s="20"/>
      <c r="N140" s="20"/>
      <c r="O140" s="19"/>
      <c r="P140" s="19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3">
      <c r="A141" s="20" t="s">
        <v>106</v>
      </c>
      <c r="B141" s="24" t="s">
        <v>38</v>
      </c>
      <c r="C141" s="20" t="s">
        <v>128</v>
      </c>
      <c r="D141" s="20" t="str">
        <f t="shared" si="1"/>
        <v>Pará de Minas - MG</v>
      </c>
      <c r="E141" s="20"/>
      <c r="F141" s="20" t="s">
        <v>128</v>
      </c>
      <c r="G141" s="20"/>
      <c r="H141" s="20"/>
      <c r="I141" s="20"/>
      <c r="J141" s="20"/>
      <c r="K141" s="20"/>
      <c r="L141" s="20"/>
      <c r="M141" s="20"/>
      <c r="N141" s="20"/>
      <c r="O141" s="19"/>
      <c r="P141" s="19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3">
      <c r="A142" s="20" t="s">
        <v>107</v>
      </c>
      <c r="B142" s="24" t="s">
        <v>38</v>
      </c>
      <c r="C142" s="20" t="s">
        <v>128</v>
      </c>
      <c r="D142" s="20" t="str">
        <f t="shared" si="1"/>
        <v>Paraguaçu - MG</v>
      </c>
      <c r="E142" s="20"/>
      <c r="F142" s="20" t="s">
        <v>128</v>
      </c>
      <c r="G142" s="20"/>
      <c r="H142" s="20"/>
      <c r="I142" s="20"/>
      <c r="J142" s="20"/>
      <c r="K142" s="20"/>
      <c r="L142" s="20"/>
      <c r="M142" s="20"/>
      <c r="N142" s="20"/>
      <c r="O142" s="19"/>
      <c r="P142" s="19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3">
      <c r="A143" s="20" t="s">
        <v>88</v>
      </c>
      <c r="B143" s="24" t="s">
        <v>38</v>
      </c>
      <c r="C143" s="20" t="s">
        <v>128</v>
      </c>
      <c r="D143" s="20" t="str">
        <f t="shared" si="1"/>
        <v>Passa Tempo - MG</v>
      </c>
      <c r="E143" s="20"/>
      <c r="F143" s="20" t="s">
        <v>128</v>
      </c>
      <c r="G143" s="20"/>
      <c r="H143" s="20"/>
      <c r="I143" s="20"/>
      <c r="J143" s="20"/>
      <c r="K143" s="20"/>
      <c r="L143" s="20"/>
      <c r="M143" s="20"/>
      <c r="N143" s="20"/>
      <c r="O143" s="19"/>
      <c r="P143" s="19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3">
      <c r="A144" s="20" t="s">
        <v>52</v>
      </c>
      <c r="B144" s="24" t="s">
        <v>38</v>
      </c>
      <c r="C144" s="20" t="s">
        <v>128</v>
      </c>
      <c r="D144" s="20" t="str">
        <f t="shared" si="1"/>
        <v>Pedro Leopoldo - MG</v>
      </c>
      <c r="E144" s="20"/>
      <c r="F144" s="20" t="s">
        <v>128</v>
      </c>
      <c r="G144" s="20"/>
      <c r="H144" s="20"/>
      <c r="I144" s="20"/>
      <c r="J144" s="20"/>
      <c r="K144" s="20"/>
      <c r="L144" s="20"/>
      <c r="M144" s="20"/>
      <c r="N144" s="20"/>
      <c r="O144" s="19"/>
      <c r="P144" s="19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3">
      <c r="A145" s="20" t="s">
        <v>89</v>
      </c>
      <c r="B145" s="24" t="s">
        <v>38</v>
      </c>
      <c r="C145" s="20" t="s">
        <v>129</v>
      </c>
      <c r="D145" s="20" t="str">
        <f t="shared" si="1"/>
        <v>Perdões - MG</v>
      </c>
      <c r="E145" s="20"/>
      <c r="F145" s="20" t="s">
        <v>129</v>
      </c>
      <c r="G145" s="20"/>
      <c r="H145" s="20"/>
      <c r="I145" s="20"/>
      <c r="J145" s="20"/>
      <c r="K145" s="20"/>
      <c r="L145" s="20"/>
      <c r="M145" s="20"/>
      <c r="N145" s="20"/>
      <c r="O145" s="19"/>
      <c r="P145" s="19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3">
      <c r="A146" s="20" t="s">
        <v>90</v>
      </c>
      <c r="B146" s="24" t="s">
        <v>38</v>
      </c>
      <c r="C146" s="20" t="s">
        <v>128</v>
      </c>
      <c r="D146" s="20" t="str">
        <f t="shared" si="1"/>
        <v>Piracema - MG</v>
      </c>
      <c r="E146" s="20"/>
      <c r="F146" s="20" t="s">
        <v>128</v>
      </c>
      <c r="G146" s="20"/>
      <c r="H146" s="20"/>
      <c r="I146" s="20"/>
      <c r="J146" s="20"/>
      <c r="K146" s="20"/>
      <c r="L146" s="20"/>
      <c r="M146" s="20"/>
      <c r="N146" s="20"/>
      <c r="O146" s="19"/>
      <c r="P146" s="19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3">
      <c r="A147" s="20" t="s">
        <v>108</v>
      </c>
      <c r="B147" s="24" t="s">
        <v>38</v>
      </c>
      <c r="C147" s="20" t="s">
        <v>128</v>
      </c>
      <c r="D147" s="20" t="str">
        <f t="shared" si="1"/>
        <v>Pouso Alegre - MG</v>
      </c>
      <c r="E147" s="20"/>
      <c r="F147" s="20" t="s">
        <v>128</v>
      </c>
      <c r="G147" s="20"/>
      <c r="H147" s="20"/>
      <c r="I147" s="20"/>
      <c r="J147" s="20"/>
      <c r="K147" s="20"/>
      <c r="L147" s="20"/>
      <c r="M147" s="20"/>
      <c r="N147" s="20"/>
      <c r="O147" s="19"/>
      <c r="P147" s="19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3">
      <c r="A148" s="20" t="s">
        <v>53</v>
      </c>
      <c r="B148" s="24" t="s">
        <v>38</v>
      </c>
      <c r="C148" s="20" t="s">
        <v>128</v>
      </c>
      <c r="D148" s="20" t="str">
        <f t="shared" si="1"/>
        <v>Ribeirão das Neves - MG</v>
      </c>
      <c r="E148" s="20"/>
      <c r="F148" s="20" t="s">
        <v>128</v>
      </c>
      <c r="G148" s="20"/>
      <c r="H148" s="20"/>
      <c r="I148" s="20"/>
      <c r="J148" s="20"/>
      <c r="K148" s="20"/>
      <c r="L148" s="20"/>
      <c r="M148" s="20"/>
      <c r="N148" s="20"/>
      <c r="O148" s="19"/>
      <c r="P148" s="19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3">
      <c r="A149" s="20" t="s">
        <v>91</v>
      </c>
      <c r="B149" s="24" t="s">
        <v>38</v>
      </c>
      <c r="C149" s="20" t="s">
        <v>129</v>
      </c>
      <c r="D149" s="20" t="str">
        <f t="shared" si="1"/>
        <v>Ribeirão Vermelho - MG</v>
      </c>
      <c r="E149" s="20"/>
      <c r="F149" s="20" t="s">
        <v>129</v>
      </c>
      <c r="G149" s="20"/>
      <c r="H149" s="20"/>
      <c r="I149" s="20"/>
      <c r="J149" s="20"/>
      <c r="K149" s="20"/>
      <c r="L149" s="20"/>
      <c r="M149" s="20"/>
      <c r="N149" s="20"/>
      <c r="O149" s="19"/>
      <c r="P149" s="19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3">
      <c r="A150" s="20" t="s">
        <v>92</v>
      </c>
      <c r="B150" s="24" t="s">
        <v>38</v>
      </c>
      <c r="C150" s="20" t="s">
        <v>128</v>
      </c>
      <c r="D150" s="20" t="str">
        <f t="shared" si="1"/>
        <v>Rio Manso - MG</v>
      </c>
      <c r="E150" s="20"/>
      <c r="F150" s="20" t="s">
        <v>128</v>
      </c>
      <c r="G150" s="20"/>
      <c r="H150" s="20"/>
      <c r="I150" s="20"/>
      <c r="J150" s="20"/>
      <c r="K150" s="20"/>
      <c r="L150" s="20"/>
      <c r="M150" s="20"/>
      <c r="N150" s="20"/>
      <c r="O150" s="19"/>
      <c r="P150" s="19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3">
      <c r="A151" s="20" t="s">
        <v>54</v>
      </c>
      <c r="B151" s="24" t="s">
        <v>38</v>
      </c>
      <c r="C151" s="20" t="s">
        <v>128</v>
      </c>
      <c r="D151" s="20" t="str">
        <f t="shared" si="1"/>
        <v>Sabará - MG</v>
      </c>
      <c r="E151" s="20"/>
      <c r="F151" s="20" t="s">
        <v>128</v>
      </c>
      <c r="G151" s="20"/>
      <c r="H151" s="20"/>
      <c r="I151" s="20"/>
      <c r="J151" s="20"/>
      <c r="K151" s="20"/>
      <c r="L151" s="20"/>
      <c r="M151" s="20"/>
      <c r="N151" s="20"/>
      <c r="O151" s="19"/>
      <c r="P151" s="19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3">
      <c r="A152" s="20" t="s">
        <v>55</v>
      </c>
      <c r="B152" s="24" t="s">
        <v>38</v>
      </c>
      <c r="C152" s="20" t="s">
        <v>128</v>
      </c>
      <c r="D152" s="20" t="str">
        <f t="shared" si="1"/>
        <v>Santa Luzia - MG</v>
      </c>
      <c r="E152" s="20"/>
      <c r="F152" s="20" t="s">
        <v>128</v>
      </c>
      <c r="G152" s="20"/>
      <c r="H152" s="20"/>
      <c r="I152" s="20"/>
      <c r="J152" s="20"/>
      <c r="K152" s="20"/>
      <c r="L152" s="20"/>
      <c r="M152" s="20"/>
      <c r="N152" s="20"/>
      <c r="O152" s="19"/>
      <c r="P152" s="19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3">
      <c r="A153" s="20" t="s">
        <v>93</v>
      </c>
      <c r="B153" s="24" t="s">
        <v>38</v>
      </c>
      <c r="C153" s="20" t="s">
        <v>128</v>
      </c>
      <c r="D153" s="20" t="str">
        <f t="shared" si="1"/>
        <v>Santana da Vargem - MG</v>
      </c>
      <c r="E153" s="20"/>
      <c r="F153" s="20" t="s">
        <v>128</v>
      </c>
      <c r="G153" s="20"/>
      <c r="H153" s="20"/>
      <c r="I153" s="20"/>
      <c r="J153" s="20"/>
      <c r="K153" s="20"/>
      <c r="L153" s="20"/>
      <c r="M153" s="20"/>
      <c r="N153" s="20"/>
      <c r="O153" s="19"/>
      <c r="P153" s="19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3">
      <c r="A154" s="20" t="s">
        <v>94</v>
      </c>
      <c r="B154" s="24" t="s">
        <v>38</v>
      </c>
      <c r="C154" s="20" t="s">
        <v>128</v>
      </c>
      <c r="D154" s="20" t="str">
        <f t="shared" si="1"/>
        <v>Santana do Jacaré - MG</v>
      </c>
      <c r="E154" s="20"/>
      <c r="F154" s="20" t="s">
        <v>128</v>
      </c>
      <c r="G154" s="20"/>
      <c r="H154" s="20"/>
      <c r="I154" s="20"/>
      <c r="J154" s="20"/>
      <c r="K154" s="20"/>
      <c r="L154" s="20"/>
      <c r="M154" s="20"/>
      <c r="N154" s="20"/>
      <c r="O154" s="19"/>
      <c r="P154" s="19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3">
      <c r="A155" s="20" t="s">
        <v>95</v>
      </c>
      <c r="B155" s="24" t="s">
        <v>38</v>
      </c>
      <c r="C155" s="20" t="s">
        <v>129</v>
      </c>
      <c r="D155" s="20" t="str">
        <f t="shared" si="1"/>
        <v>Santo Antônio do Amparo - MG</v>
      </c>
      <c r="E155" s="20"/>
      <c r="F155" s="20" t="s">
        <v>129</v>
      </c>
      <c r="G155" s="20"/>
      <c r="H155" s="20"/>
      <c r="I155" s="20"/>
      <c r="J155" s="20"/>
      <c r="K155" s="20"/>
      <c r="L155" s="20"/>
      <c r="M155" s="20"/>
      <c r="N155" s="20"/>
      <c r="O155" s="19"/>
      <c r="P155" s="19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3">
      <c r="A156" s="20" t="s">
        <v>109</v>
      </c>
      <c r="B156" s="24" t="s">
        <v>38</v>
      </c>
      <c r="C156" s="20" t="s">
        <v>129</v>
      </c>
      <c r="D156" s="20" t="str">
        <f t="shared" si="1"/>
        <v>São Francisco de Paula - MG</v>
      </c>
      <c r="E156" s="20"/>
      <c r="F156" s="20" t="s">
        <v>129</v>
      </c>
      <c r="G156" s="20"/>
      <c r="H156" s="20"/>
      <c r="I156" s="20"/>
      <c r="J156" s="20"/>
      <c r="K156" s="20"/>
      <c r="L156" s="20"/>
      <c r="M156" s="20"/>
      <c r="N156" s="20"/>
      <c r="O156" s="19"/>
      <c r="P156" s="19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3">
      <c r="A157" s="20" t="s">
        <v>110</v>
      </c>
      <c r="B157" s="24" t="s">
        <v>38</v>
      </c>
      <c r="C157" s="20" t="s">
        <v>128</v>
      </c>
      <c r="D157" s="20" t="str">
        <f t="shared" si="1"/>
        <v>São Gonçalo do Sapucaí - MG</v>
      </c>
      <c r="E157" s="20"/>
      <c r="F157" s="20" t="s">
        <v>128</v>
      </c>
      <c r="G157" s="20"/>
      <c r="H157" s="20"/>
      <c r="I157" s="20"/>
      <c r="J157" s="20"/>
      <c r="K157" s="20"/>
      <c r="L157" s="20"/>
      <c r="M157" s="20"/>
      <c r="N157" s="20"/>
      <c r="O157" s="19"/>
      <c r="P157" s="19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3">
      <c r="A158" s="20" t="s">
        <v>111</v>
      </c>
      <c r="B158" s="24" t="s">
        <v>38</v>
      </c>
      <c r="C158" s="20" t="s">
        <v>128</v>
      </c>
      <c r="D158" s="20" t="str">
        <f t="shared" si="1"/>
        <v>São João Del Rey - MG</v>
      </c>
      <c r="E158" s="20"/>
      <c r="F158" s="20" t="s">
        <v>128</v>
      </c>
      <c r="G158" s="20"/>
      <c r="H158" s="20"/>
      <c r="I158" s="20"/>
      <c r="J158" s="20"/>
      <c r="K158" s="20"/>
      <c r="L158" s="20"/>
      <c r="M158" s="20"/>
      <c r="N158" s="20"/>
      <c r="O158" s="19"/>
      <c r="P158" s="19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3">
      <c r="A159" s="20" t="s">
        <v>57</v>
      </c>
      <c r="B159" s="24" t="s">
        <v>38</v>
      </c>
      <c r="C159" s="20" t="s">
        <v>128</v>
      </c>
      <c r="D159" s="20" t="str">
        <f t="shared" si="1"/>
        <v>São Joaquim  de Bicas - MG</v>
      </c>
      <c r="E159" s="20"/>
      <c r="F159" s="20" t="s">
        <v>128</v>
      </c>
      <c r="G159" s="20"/>
      <c r="H159" s="20"/>
      <c r="I159" s="20"/>
      <c r="J159" s="20"/>
      <c r="K159" s="20"/>
      <c r="L159" s="20"/>
      <c r="M159" s="20"/>
      <c r="N159" s="20"/>
      <c r="O159" s="19"/>
      <c r="P159" s="19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3">
      <c r="A160" s="20" t="s">
        <v>58</v>
      </c>
      <c r="B160" s="24" t="s">
        <v>38</v>
      </c>
      <c r="C160" s="20" t="s">
        <v>128</v>
      </c>
      <c r="D160" s="20" t="str">
        <f t="shared" si="1"/>
        <v>São José da Lapa - MG</v>
      </c>
      <c r="E160" s="20"/>
      <c r="F160" s="20" t="s">
        <v>128</v>
      </c>
      <c r="G160" s="20"/>
      <c r="H160" s="20"/>
      <c r="I160" s="20"/>
      <c r="J160" s="20"/>
      <c r="K160" s="20"/>
      <c r="L160" s="20"/>
      <c r="M160" s="20"/>
      <c r="N160" s="20"/>
      <c r="O160" s="19"/>
      <c r="P160" s="19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3">
      <c r="A161" s="20" t="s">
        <v>112</v>
      </c>
      <c r="B161" s="24" t="s">
        <v>38</v>
      </c>
      <c r="C161" s="20" t="s">
        <v>128</v>
      </c>
      <c r="D161" s="20" t="str">
        <f t="shared" si="1"/>
        <v>São Tiago - MG</v>
      </c>
      <c r="E161" s="20"/>
      <c r="F161" s="20" t="s">
        <v>128</v>
      </c>
      <c r="G161" s="20"/>
      <c r="H161" s="20"/>
      <c r="I161" s="20"/>
      <c r="J161" s="20"/>
      <c r="K161" s="20"/>
      <c r="L161" s="20"/>
      <c r="M161" s="20"/>
      <c r="N161" s="20"/>
      <c r="O161" s="19"/>
      <c r="P161" s="19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3">
      <c r="A162" s="20" t="s">
        <v>56</v>
      </c>
      <c r="B162" s="24" t="s">
        <v>38</v>
      </c>
      <c r="C162" s="20" t="s">
        <v>128</v>
      </c>
      <c r="D162" s="20" t="str">
        <f t="shared" si="1"/>
        <v>Sarzedo - MG</v>
      </c>
      <c r="E162" s="20"/>
      <c r="F162" s="20" t="s">
        <v>128</v>
      </c>
      <c r="G162" s="20"/>
      <c r="H162" s="20"/>
      <c r="I162" s="20"/>
      <c r="J162" s="20"/>
      <c r="K162" s="20"/>
      <c r="L162" s="20"/>
      <c r="M162" s="20"/>
      <c r="N162" s="20"/>
      <c r="O162" s="19"/>
      <c r="P162" s="19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3">
      <c r="A163" s="20" t="s">
        <v>113</v>
      </c>
      <c r="B163" s="24" t="s">
        <v>38</v>
      </c>
      <c r="C163" s="20" t="s">
        <v>129</v>
      </c>
      <c r="D163" s="20" t="str">
        <f t="shared" si="1"/>
        <v>Três Corações - MG</v>
      </c>
      <c r="E163" s="20"/>
      <c r="F163" s="20" t="s">
        <v>129</v>
      </c>
      <c r="G163" s="20"/>
      <c r="H163" s="20"/>
      <c r="I163" s="20"/>
      <c r="J163" s="20"/>
      <c r="K163" s="20"/>
      <c r="L163" s="20"/>
      <c r="M163" s="20"/>
      <c r="N163" s="20"/>
      <c r="O163" s="19"/>
      <c r="P163" s="19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3">
      <c r="A164" s="20" t="s">
        <v>114</v>
      </c>
      <c r="B164" s="24" t="s">
        <v>38</v>
      </c>
      <c r="C164" s="20" t="s">
        <v>129</v>
      </c>
      <c r="D164" s="20" t="str">
        <f t="shared" si="1"/>
        <v>Três Pontas - MG</v>
      </c>
      <c r="E164" s="20"/>
      <c r="F164" s="20" t="s">
        <v>129</v>
      </c>
      <c r="G164" s="20"/>
      <c r="H164" s="20"/>
      <c r="I164" s="20"/>
      <c r="J164" s="20"/>
      <c r="K164" s="20"/>
      <c r="L164" s="20"/>
      <c r="M164" s="20"/>
      <c r="N164" s="20"/>
      <c r="O164" s="19"/>
      <c r="P164" s="19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3">
      <c r="A165" s="20" t="s">
        <v>115</v>
      </c>
      <c r="B165" s="24" t="s">
        <v>38</v>
      </c>
      <c r="C165" s="20" t="s">
        <v>129</v>
      </c>
      <c r="D165" s="20" t="str">
        <f t="shared" si="1"/>
        <v>Varginha - MG</v>
      </c>
      <c r="E165" s="20"/>
      <c r="F165" s="20" t="s">
        <v>129</v>
      </c>
      <c r="G165" s="20"/>
      <c r="H165" s="20"/>
      <c r="I165" s="20"/>
      <c r="J165" s="20"/>
      <c r="K165" s="20"/>
      <c r="L165" s="20"/>
      <c r="M165" s="20"/>
      <c r="N165" s="20"/>
      <c r="O165" s="19"/>
      <c r="P165" s="19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3">
      <c r="A166" s="20" t="s">
        <v>59</v>
      </c>
      <c r="B166" s="24" t="s">
        <v>38</v>
      </c>
      <c r="C166" s="20" t="s">
        <v>128</v>
      </c>
      <c r="D166" s="20" t="str">
        <f t="shared" si="1"/>
        <v>Vespasiano - MG</v>
      </c>
      <c r="E166" s="20"/>
      <c r="F166" s="20" t="s">
        <v>128</v>
      </c>
      <c r="G166" s="20"/>
      <c r="H166" s="20"/>
      <c r="I166" s="20"/>
      <c r="J166" s="20"/>
      <c r="K166" s="20"/>
      <c r="L166" s="20"/>
      <c r="M166" s="20"/>
      <c r="N166" s="20"/>
      <c r="O166" s="19"/>
      <c r="P166" s="19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19"/>
      <c r="P167" s="19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9"/>
      <c r="P168" s="19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3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3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4" customHeight="1" x14ac:dyDescent="0.3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4" customHeight="1" x14ac:dyDescent="0.3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4" customHeight="1" x14ac:dyDescent="0.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4" customHeight="1" x14ac:dyDescent="0.3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4" customHeight="1" x14ac:dyDescent="0.3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4" customHeight="1" x14ac:dyDescent="0.3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16" ht="14.4" customHeight="1" x14ac:dyDescent="0.3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</row>
    <row r="178" spans="1:16" ht="14.4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</row>
    <row r="179" spans="1:16" ht="14.4" customHeight="1" x14ac:dyDescent="0.3"/>
    <row r="180" spans="1:16" ht="14.4" customHeight="1" x14ac:dyDescent="0.3"/>
    <row r="181" spans="1:16" ht="14.4" customHeight="1" x14ac:dyDescent="0.3"/>
    <row r="182" spans="1:16" ht="14.4" customHeight="1" x14ac:dyDescent="0.3"/>
    <row r="183" spans="1:16" ht="14.4" customHeight="1" x14ac:dyDescent="0.3"/>
    <row r="184" spans="1:16" hidden="1" x14ac:dyDescent="0.3"/>
    <row r="185" spans="1:16" ht="14.4" customHeight="1" x14ac:dyDescent="0.3"/>
    <row r="186" spans="1:16" ht="14.4" customHeight="1" x14ac:dyDescent="0.3"/>
    <row r="187" spans="1:16" ht="14.4" customHeight="1" x14ac:dyDescent="0.3"/>
    <row r="188" spans="1:16" ht="14.4" customHeight="1" x14ac:dyDescent="0.3"/>
    <row r="189" spans="1:16" ht="14.4" customHeight="1" x14ac:dyDescent="0.3"/>
    <row r="190" spans="1:16" ht="14.4" customHeight="1" x14ac:dyDescent="0.3"/>
    <row r="191" spans="1:16" ht="14.4" customHeight="1" x14ac:dyDescent="0.3"/>
    <row r="192" spans="1:16" ht="14.4" customHeight="1" x14ac:dyDescent="0.3"/>
    <row r="193" s="2" customFormat="1" ht="14.4" customHeight="1" x14ac:dyDescent="0.3"/>
    <row r="194" s="2" customFormat="1" ht="14.4" customHeight="1" x14ac:dyDescent="0.3"/>
    <row r="195" s="2" customFormat="1" ht="14.4" customHeight="1" x14ac:dyDescent="0.3"/>
    <row r="196" s="2" customFormat="1" ht="14.4" customHeight="1" x14ac:dyDescent="0.3"/>
    <row r="197" s="2" customFormat="1" ht="14.4" customHeight="1" x14ac:dyDescent="0.3"/>
    <row r="198" s="2" customFormat="1" ht="14.4" customHeight="1" x14ac:dyDescent="0.3"/>
    <row r="199" s="2" customFormat="1" ht="14.4" customHeight="1" x14ac:dyDescent="0.3"/>
    <row r="200" s="2" customFormat="1" ht="14.4" customHeight="1" x14ac:dyDescent="0.3"/>
    <row r="201" s="2" customFormat="1" ht="14.4" customHeight="1" x14ac:dyDescent="0.3"/>
    <row r="202" s="2" customFormat="1" ht="14.4" customHeight="1" x14ac:dyDescent="0.3"/>
    <row r="203" s="2" customFormat="1" ht="14.4" customHeight="1" x14ac:dyDescent="0.3"/>
    <row r="204" s="2" customFormat="1" ht="14.4" customHeight="1" x14ac:dyDescent="0.3"/>
    <row r="205" s="2" customFormat="1" ht="14.4" customHeight="1" x14ac:dyDescent="0.3"/>
    <row r="206" s="2" customFormat="1" ht="14.4" customHeight="1" x14ac:dyDescent="0.3"/>
    <row r="207" s="2" customFormat="1" ht="14.4" customHeight="1" x14ac:dyDescent="0.3"/>
    <row r="208" s="2" customFormat="1" ht="14.4" customHeight="1" x14ac:dyDescent="0.3"/>
    <row r="209" s="2" customFormat="1" ht="14.4" customHeight="1" x14ac:dyDescent="0.3"/>
    <row r="210" s="2" customFormat="1" ht="14.4" customHeight="1" x14ac:dyDescent="0.3"/>
    <row r="211" s="2" customFormat="1" ht="14.4" customHeight="1" x14ac:dyDescent="0.3"/>
    <row r="212" s="2" customFormat="1" ht="14.4" customHeight="1" x14ac:dyDescent="0.3"/>
  </sheetData>
  <sheetProtection selectLockedCells="1"/>
  <autoFilter ref="A54:B166" xr:uid="{05270EC0-4F45-4B37-A511-A6D3A424818C}">
    <filterColumn colId="1">
      <filters>
        <filter val="SP"/>
      </filters>
    </filterColumn>
    <sortState xmlns:xlrd2="http://schemas.microsoft.com/office/spreadsheetml/2017/richdata2" ref="A94:B166">
      <sortCondition ref="A54:A166"/>
    </sortState>
  </autoFilter>
  <mergeCells count="11">
    <mergeCell ref="C14:E14"/>
    <mergeCell ref="C15:E15"/>
    <mergeCell ref="C12:I12"/>
    <mergeCell ref="C11:I11"/>
    <mergeCell ref="G14:I14"/>
    <mergeCell ref="G15:I15"/>
    <mergeCell ref="C19:E19"/>
    <mergeCell ref="G19:I19"/>
    <mergeCell ref="C20:E20"/>
    <mergeCell ref="G20:I20"/>
    <mergeCell ref="C17:H17"/>
  </mergeCells>
  <dataValidations count="1">
    <dataValidation type="list" allowBlank="1" showInputMessage="1" showErrorMessage="1" sqref="C12" xr:uid="{6A2336CE-D8B9-470D-B907-E758646B6FEC}">
      <formula1>$D$55:$D$166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locked="0" defaultSize="0" autoFill="0" autoLine="0" autoPict="0">
                <anchor moveWithCells="1">
                  <from>
                    <xdr:col>5</xdr:col>
                    <xdr:colOff>426720</xdr:colOff>
                    <xdr:row>15</xdr:row>
                    <xdr:rowOff>152400</xdr:rowOff>
                  </from>
                  <to>
                    <xdr:col>7</xdr:col>
                    <xdr:colOff>541020</xdr:colOff>
                    <xdr:row>17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locked="0" defaultSize="0" autoFill="0" autoLine="0" autoPict="0" altText="ENTREGA NO CLIENTE">
                <anchor moveWithCells="1">
                  <from>
                    <xdr:col>3</xdr:col>
                    <xdr:colOff>106680</xdr:colOff>
                    <xdr:row>15</xdr:row>
                    <xdr:rowOff>152400</xdr:rowOff>
                  </from>
                  <to>
                    <xdr:col>5</xdr:col>
                    <xdr:colOff>99060</xdr:colOff>
                    <xdr:row>17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8CAF-FFFD-4AF3-B167-86DCC4C8ED33}">
  <sheetPr codeName="Planilha2"/>
  <dimension ref="A19"/>
  <sheetViews>
    <sheetView workbookViewId="0">
      <selection activeCell="A17" sqref="A17:XFD29"/>
    </sheetView>
  </sheetViews>
  <sheetFormatPr defaultRowHeight="14.4" x14ac:dyDescent="0.3"/>
  <sheetData>
    <row r="19" ht="42.6" customHeight="1" x14ac:dyDescent="0.3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COTAÇÃO FLOR DE MINAS </vt:lpstr>
      <vt:lpstr>Planilha1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Juvenal Teixeira</dc:creator>
  <cp:lastModifiedBy>Juvenal Teixeira</cp:lastModifiedBy>
  <dcterms:created xsi:type="dcterms:W3CDTF">2025-03-27T13:53:53Z</dcterms:created>
  <dcterms:modified xsi:type="dcterms:W3CDTF">2026-07-07T12:07:57Z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2025-03-27T14:33:17Z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5ad21f15-c299-4931-b2db-4e8c652729ab</vt:lpwstr>
  </property>
  <property fmtid="{D5CDD505-2E9C-101B-9397-08002B2CF9AE}" pid="7" name="MSIP_Label_defa4170-0d19-0005-0004-bc88714345d2_ActionId">
    <vt:lpwstr>32d6d9da-66ef-400c-b582-9c815ab1198b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